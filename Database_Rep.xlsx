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Questa_cartella_di_lavoro" hidePivotFieldList="1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xr:revisionPtr revIDLastSave="0" documentId="8_{FB70B0B7-6307-4F92-9D81-3AADF2254B2C}" xr6:coauthVersionLast="47" xr6:coauthVersionMax="47" xr10:uidLastSave="{00000000-0000-0000-0000-000000000000}"/>
  <bookViews>
    <workbookView xWindow="20370" yWindow="-120" windowWidth="29040" windowHeight="17640" tabRatio="830" activeTab="8" xr2:uid="{00000000-000D-0000-FFFF-FFFF00000000}"/>
  </bookViews>
  <sheets>
    <sheet name="Dipendenti" sheetId="5" r:id="rId1"/>
    <sheet name="Riepilogo" sheetId="32" r:id="rId2"/>
    <sheet name="Dashboard" sheetId="13" r:id="rId3"/>
    <sheet name="Report_Ferie" sheetId="6" r:id="rId4"/>
    <sheet name="Report_Assenze" sheetId="31" r:id="rId5"/>
    <sheet name="Registro_Ferie" sheetId="4" r:id="rId6"/>
    <sheet name="Registro_assenze" sheetId="30" r:id="rId7"/>
    <sheet name="ChiusureAziendali" sheetId="3" r:id="rId8"/>
    <sheet name="SaldiFerie" sheetId="1" r:id="rId9"/>
    <sheet name="Media" sheetId="15" r:id="rId10"/>
    <sheet name="ELENCO" sheetId="10" r:id="rId11"/>
  </sheets>
  <definedNames>
    <definedName name="_xlnm._FilterDatabase" localSheetId="0" hidden="1">Dipendenti!$A$1:$O$101</definedName>
    <definedName name="_xlnm._FilterDatabase" localSheetId="6" hidden="1">Registro_assenze!$A$1:$D$1133</definedName>
    <definedName name="_xlnm._FilterDatabase" localSheetId="5" hidden="1">Registro_Ferie!$A$1:$D$1675</definedName>
    <definedName name="_xlnm._FilterDatabase" localSheetId="8" hidden="1">SaldiFerie!$A$1:$C$101</definedName>
    <definedName name="_xlchart.v1.0" hidden="1">Report_Ferie!$B$8:$B$21</definedName>
    <definedName name="_xlchart.v1.1" hidden="1">Report_Ferie!$C$8:$C$21</definedName>
    <definedName name="_xlchart.v1.2" hidden="1">Report_Ferie!$D$8:$D$21</definedName>
    <definedName name="_xlchart.v1.3" hidden="1">Report_Ferie!$E$8:$E$21</definedName>
    <definedName name="_xlchart.v1.4" hidden="1">Report_Ferie!$F$8:$F$21</definedName>
    <definedName name="_xlchart.v1.5" hidden="1">Report_Ferie!$G$8:$G$21</definedName>
    <definedName name="_xlchart.v1.6" hidden="1">Report_Ferie!$H$8:$H$21</definedName>
    <definedName name="_xlchart.v1.7" hidden="1">Report_Ferie!$I$8:$I$21</definedName>
    <definedName name="_xlchart.v1.8" hidden="1">Report_Ferie!$J$8:$J$21</definedName>
    <definedName name="_xlnm.Print_Area" localSheetId="4">Report_Assenze!$A$1:$F$19</definedName>
    <definedName name="Categorie_Ferie" localSheetId="4">OFFSET(Report_Assenze!$B$8,0,0,COUNTA(Report_Assenze!$B:$B)-4,1)</definedName>
    <definedName name="Categorie_Ferie">OFFSET(Report_Ferie!$B$8,0,0,COUNTA(Report_Ferie!$B:$B)-4,1)</definedName>
    <definedName name="DIPENDENTE">Dipendenti!$A:$A</definedName>
    <definedName name="FiltroDati_LIVELLO">#N/A</definedName>
    <definedName name="FiltroDati_QUALIFICA">#N/A</definedName>
    <definedName name="FiltroDati_REPARTO">#N/A</definedName>
    <definedName name="FiltroDati_SESSO">#N/A</definedName>
    <definedName name="TABELLA_DIP">Dipendenti[]</definedName>
    <definedName name="Valori_Ferie" localSheetId="4">OFFSET(Report_Assenze!$G$8,0,0,COUNTA(Report_Assenze!$G:$G)-4,1)</definedName>
    <definedName name="Valori_Ferie">OFFSET(Report_Ferie!$I$8,0,0,COUNTA(Report_Ferie!$I:$I)-4,1)</definedName>
  </definedNames>
  <calcPr calcId="191029"/>
  <pivotCaches>
    <pivotCache cacheId="0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31" l="1"/>
  <c r="P27" i="5"/>
  <c r="P22" i="5"/>
  <c r="P88" i="5"/>
  <c r="P62" i="5"/>
  <c r="P97" i="5"/>
  <c r="P37" i="5"/>
  <c r="P96" i="5"/>
  <c r="P67" i="5"/>
  <c r="P80" i="5"/>
  <c r="P46" i="5"/>
  <c r="P85" i="5"/>
  <c r="P44" i="5"/>
  <c r="P13" i="5"/>
  <c r="P20" i="5"/>
  <c r="P58" i="5"/>
  <c r="P90" i="5"/>
  <c r="P5" i="5"/>
  <c r="P53" i="5"/>
  <c r="P9" i="5"/>
  <c r="P98" i="5"/>
  <c r="P10" i="5"/>
  <c r="P59" i="5"/>
  <c r="P32" i="5"/>
  <c r="P91" i="5"/>
  <c r="P38" i="5"/>
  <c r="P28" i="5"/>
  <c r="P99" i="5"/>
  <c r="P18" i="5"/>
  <c r="P40" i="5"/>
  <c r="P61" i="5"/>
  <c r="P49" i="5"/>
  <c r="P92" i="5"/>
  <c r="P24" i="5"/>
  <c r="P47" i="5"/>
  <c r="P11" i="5"/>
  <c r="P56" i="5"/>
  <c r="P71" i="5"/>
  <c r="P7" i="5"/>
  <c r="P14" i="5"/>
  <c r="P65" i="5"/>
  <c r="P8" i="5"/>
  <c r="P19" i="5"/>
  <c r="P41" i="5"/>
  <c r="P84" i="5"/>
  <c r="P17" i="5"/>
  <c r="P63" i="5"/>
  <c r="P12" i="5"/>
  <c r="P94" i="5"/>
  <c r="P35" i="5"/>
  <c r="P86" i="5"/>
  <c r="P89" i="5"/>
  <c r="P15" i="5"/>
  <c r="P87" i="5"/>
  <c r="P48" i="5"/>
  <c r="P72" i="5"/>
  <c r="P26" i="5"/>
  <c r="P79" i="5"/>
  <c r="P16" i="5"/>
  <c r="P64" i="5"/>
  <c r="P57" i="5"/>
  <c r="P93" i="5"/>
  <c r="P42" i="5"/>
  <c r="P3" i="5"/>
  <c r="P29" i="5"/>
  <c r="P68" i="5"/>
  <c r="P31" i="5"/>
  <c r="P36" i="5"/>
  <c r="P51" i="5"/>
  <c r="P50" i="5"/>
  <c r="P55" i="5"/>
  <c r="P52" i="5"/>
  <c r="P83" i="5"/>
  <c r="P25" i="5"/>
  <c r="P66" i="5"/>
  <c r="P6" i="5"/>
  <c r="P43" i="5"/>
  <c r="P69" i="5"/>
  <c r="P95" i="5"/>
  <c r="P100" i="5"/>
  <c r="P34" i="5"/>
  <c r="P82" i="5"/>
  <c r="P70" i="5"/>
  <c r="P81" i="5"/>
  <c r="P33" i="5"/>
  <c r="P23" i="5"/>
  <c r="P39" i="5"/>
  <c r="P45" i="5"/>
  <c r="P77" i="5"/>
  <c r="P74" i="5"/>
  <c r="P2" i="5"/>
  <c r="P54" i="5"/>
  <c r="P75" i="5"/>
  <c r="P30" i="5"/>
  <c r="P60" i="5"/>
  <c r="P73" i="5"/>
  <c r="P101" i="5"/>
  <c r="P4" i="5"/>
  <c r="P21" i="5"/>
  <c r="P76" i="5"/>
  <c r="P78" i="5"/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D27" i="5"/>
  <c r="K27" i="5"/>
  <c r="D22" i="5"/>
  <c r="K22" i="5"/>
  <c r="D88" i="5"/>
  <c r="K88" i="5"/>
  <c r="D62" i="5"/>
  <c r="K62" i="5"/>
  <c r="D97" i="5"/>
  <c r="K97" i="5"/>
  <c r="D37" i="5"/>
  <c r="K37" i="5"/>
  <c r="D96" i="5"/>
  <c r="K96" i="5"/>
  <c r="D67" i="5"/>
  <c r="K67" i="5"/>
  <c r="D80" i="5"/>
  <c r="K80" i="5"/>
  <c r="D46" i="5"/>
  <c r="K46" i="5"/>
  <c r="D85" i="5"/>
  <c r="K85" i="5"/>
  <c r="D44" i="5"/>
  <c r="K44" i="5"/>
  <c r="D13" i="5"/>
  <c r="K13" i="5"/>
  <c r="D20" i="5"/>
  <c r="K20" i="5"/>
  <c r="D58" i="5"/>
  <c r="K58" i="5"/>
  <c r="D90" i="5"/>
  <c r="K90" i="5"/>
  <c r="D5" i="5"/>
  <c r="K5" i="5"/>
  <c r="D53" i="5"/>
  <c r="K53" i="5"/>
  <c r="D9" i="5"/>
  <c r="K9" i="5"/>
  <c r="D98" i="5"/>
  <c r="K98" i="5"/>
  <c r="D10" i="5"/>
  <c r="K10" i="5"/>
  <c r="D59" i="5"/>
  <c r="K59" i="5"/>
  <c r="D32" i="5"/>
  <c r="K32" i="5"/>
  <c r="D91" i="5"/>
  <c r="K91" i="5"/>
  <c r="D38" i="5"/>
  <c r="K38" i="5"/>
  <c r="D28" i="5"/>
  <c r="K28" i="5"/>
  <c r="D99" i="5"/>
  <c r="K99" i="5"/>
  <c r="D18" i="5"/>
  <c r="K18" i="5"/>
  <c r="D40" i="5"/>
  <c r="K40" i="5"/>
  <c r="D61" i="5"/>
  <c r="K61" i="5"/>
  <c r="D49" i="5"/>
  <c r="K49" i="5"/>
  <c r="D92" i="5"/>
  <c r="K92" i="5"/>
  <c r="D24" i="5"/>
  <c r="K24" i="5"/>
  <c r="D47" i="5"/>
  <c r="K47" i="5"/>
  <c r="D11" i="5"/>
  <c r="K11" i="5"/>
  <c r="D56" i="5"/>
  <c r="K56" i="5"/>
  <c r="D71" i="5"/>
  <c r="K71" i="5"/>
  <c r="D7" i="5"/>
  <c r="K7" i="5"/>
  <c r="D14" i="5"/>
  <c r="K14" i="5"/>
  <c r="D65" i="5"/>
  <c r="K65" i="5"/>
  <c r="D8" i="5"/>
  <c r="K8" i="5"/>
  <c r="D19" i="5"/>
  <c r="K19" i="5"/>
  <c r="D41" i="5"/>
  <c r="K41" i="5"/>
  <c r="D84" i="5"/>
  <c r="K84" i="5"/>
  <c r="D17" i="5"/>
  <c r="K17" i="5"/>
  <c r="D63" i="5"/>
  <c r="K63" i="5"/>
  <c r="D12" i="5"/>
  <c r="K12" i="5"/>
  <c r="D94" i="5"/>
  <c r="K94" i="5"/>
  <c r="D35" i="5"/>
  <c r="K35" i="5"/>
  <c r="D86" i="5"/>
  <c r="K86" i="5"/>
  <c r="D89" i="5"/>
  <c r="K89" i="5"/>
  <c r="D15" i="5"/>
  <c r="K15" i="5"/>
  <c r="D87" i="5"/>
  <c r="K87" i="5"/>
  <c r="D48" i="5"/>
  <c r="K48" i="5"/>
  <c r="D72" i="5"/>
  <c r="K72" i="5"/>
  <c r="D26" i="5"/>
  <c r="K26" i="5"/>
  <c r="D79" i="5"/>
  <c r="K79" i="5"/>
  <c r="D16" i="5"/>
  <c r="K16" i="5"/>
  <c r="D64" i="5"/>
  <c r="K64" i="5"/>
  <c r="D57" i="5"/>
  <c r="K57" i="5"/>
  <c r="D93" i="5"/>
  <c r="K93" i="5"/>
  <c r="D42" i="5"/>
  <c r="K42" i="5"/>
  <c r="D3" i="5"/>
  <c r="K3" i="5"/>
  <c r="D29" i="5"/>
  <c r="K29" i="5"/>
  <c r="D68" i="5"/>
  <c r="K68" i="5"/>
  <c r="D31" i="5"/>
  <c r="K31" i="5"/>
  <c r="D36" i="5"/>
  <c r="K36" i="5"/>
  <c r="D51" i="5"/>
  <c r="K51" i="5"/>
  <c r="D50" i="5"/>
  <c r="K50" i="5"/>
  <c r="D55" i="5"/>
  <c r="K55" i="5"/>
  <c r="D52" i="5"/>
  <c r="K52" i="5"/>
  <c r="D83" i="5"/>
  <c r="K83" i="5"/>
  <c r="D25" i="5"/>
  <c r="K25" i="5"/>
  <c r="D66" i="5"/>
  <c r="K66" i="5"/>
  <c r="D6" i="5"/>
  <c r="K6" i="5"/>
  <c r="D43" i="5"/>
  <c r="K43" i="5"/>
  <c r="D69" i="5"/>
  <c r="K69" i="5"/>
  <c r="D95" i="5"/>
  <c r="K95" i="5"/>
  <c r="D100" i="5"/>
  <c r="K100" i="5"/>
  <c r="D34" i="5"/>
  <c r="K34" i="5"/>
  <c r="D82" i="5"/>
  <c r="K82" i="5"/>
  <c r="D70" i="5"/>
  <c r="K70" i="5"/>
  <c r="D81" i="5"/>
  <c r="K81" i="5"/>
  <c r="D33" i="5"/>
  <c r="K33" i="5"/>
  <c r="D23" i="5"/>
  <c r="K23" i="5"/>
  <c r="D39" i="5"/>
  <c r="K39" i="5"/>
  <c r="D45" i="5"/>
  <c r="K45" i="5"/>
  <c r="D77" i="5"/>
  <c r="K77" i="5"/>
  <c r="D74" i="5"/>
  <c r="K74" i="5"/>
  <c r="D2" i="5"/>
  <c r="K2" i="5"/>
  <c r="D54" i="5"/>
  <c r="K54" i="5"/>
  <c r="D75" i="5"/>
  <c r="K75" i="5"/>
  <c r="D30" i="5"/>
  <c r="K30" i="5"/>
  <c r="D60" i="5"/>
  <c r="K60" i="5"/>
  <c r="D73" i="5"/>
  <c r="K73" i="5"/>
  <c r="D101" i="5"/>
  <c r="K101" i="5"/>
  <c r="D4" i="5"/>
  <c r="K4" i="5"/>
  <c r="D21" i="5"/>
  <c r="K21" i="5"/>
  <c r="D76" i="5"/>
  <c r="K76" i="5"/>
  <c r="D78" i="5"/>
  <c r="K78" i="5"/>
  <c r="Y102" i="5" l="1"/>
  <c r="Y103" i="5"/>
  <c r="Y104" i="5"/>
  <c r="Y105" i="5"/>
  <c r="Y3" i="5" l="1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62" i="5"/>
  <c r="Y63" i="5"/>
  <c r="Y64" i="5"/>
  <c r="Y65" i="5"/>
  <c r="Y66" i="5"/>
  <c r="Y67" i="5"/>
  <c r="Y68" i="5"/>
  <c r="Y69" i="5"/>
  <c r="Y70" i="5"/>
  <c r="Y71" i="5"/>
  <c r="Y72" i="5"/>
  <c r="Y73" i="5"/>
  <c r="Y74" i="5"/>
  <c r="Y75" i="5"/>
  <c r="Y76" i="5"/>
  <c r="Y77" i="5"/>
  <c r="Y78" i="5"/>
  <c r="Y79" i="5"/>
  <c r="Y80" i="5"/>
  <c r="Y81" i="5"/>
  <c r="Y82" i="5"/>
  <c r="Y83" i="5"/>
  <c r="Y84" i="5"/>
  <c r="Y85" i="5"/>
  <c r="Y86" i="5"/>
  <c r="Y87" i="5"/>
  <c r="Y88" i="5"/>
  <c r="Y89" i="5"/>
  <c r="Y90" i="5"/>
  <c r="Y91" i="5"/>
  <c r="Y92" i="5"/>
  <c r="Y93" i="5"/>
  <c r="Y94" i="5"/>
  <c r="Y95" i="5"/>
  <c r="Y96" i="5"/>
  <c r="Y97" i="5"/>
  <c r="Y98" i="5"/>
  <c r="Y99" i="5"/>
  <c r="Y100" i="5"/>
  <c r="Y101" i="5"/>
  <c r="Y2" i="5"/>
  <c r="G7" i="31"/>
  <c r="E7" i="31"/>
  <c r="D7" i="31"/>
  <c r="C7" i="31"/>
  <c r="B50" i="31" a="1"/>
  <c r="B50" i="31" s="1"/>
  <c r="B49" i="31" a="1"/>
  <c r="B49" i="31" s="1"/>
  <c r="B48" i="31" a="1"/>
  <c r="B48" i="31" s="1"/>
  <c r="B47" i="31" a="1"/>
  <c r="B47" i="31" s="1"/>
  <c r="B46" i="31" a="1"/>
  <c r="B46" i="31" s="1"/>
  <c r="B45" i="31" a="1"/>
  <c r="B45" i="31" s="1"/>
  <c r="B44" i="31" a="1"/>
  <c r="B44" i="31" s="1"/>
  <c r="B43" i="31" a="1"/>
  <c r="B43" i="31" s="1"/>
  <c r="B42" i="31" a="1"/>
  <c r="B42" i="31" s="1"/>
  <c r="B41" i="31" a="1"/>
  <c r="B41" i="31" s="1"/>
  <c r="B40" i="31" a="1"/>
  <c r="B40" i="31" s="1"/>
  <c r="B39" i="31" a="1"/>
  <c r="B39" i="31" s="1"/>
  <c r="B38" i="31" a="1"/>
  <c r="B38" i="31" s="1"/>
  <c r="B37" i="31" a="1"/>
  <c r="B37" i="31" s="1"/>
  <c r="B36" i="31" a="1"/>
  <c r="B36" i="31" s="1"/>
  <c r="B35" i="31" a="1"/>
  <c r="B35" i="31" s="1"/>
  <c r="B34" i="31" a="1"/>
  <c r="B34" i="31" s="1"/>
  <c r="B33" i="31" a="1"/>
  <c r="B33" i="31" s="1"/>
  <c r="B32" i="31" a="1"/>
  <c r="B32" i="31" s="1"/>
  <c r="B30" i="31" a="1"/>
  <c r="B30" i="31" s="1"/>
  <c r="B29" i="31" a="1"/>
  <c r="B29" i="31" s="1"/>
  <c r="B28" i="31" a="1"/>
  <c r="B28" i="31" s="1"/>
  <c r="B27" i="31" a="1"/>
  <c r="B27" i="31" s="1"/>
  <c r="B26" i="31" a="1"/>
  <c r="B26" i="31" s="1"/>
  <c r="B25" i="31" a="1"/>
  <c r="B25" i="31" s="1"/>
  <c r="B24" i="31" a="1"/>
  <c r="B24" i="31" s="1"/>
  <c r="B23" i="31" a="1"/>
  <c r="B23" i="31" s="1"/>
  <c r="B22" i="31" a="1"/>
  <c r="B22" i="31" s="1"/>
  <c r="B21" i="31" a="1"/>
  <c r="B21" i="31" s="1"/>
  <c r="B20" i="31" a="1"/>
  <c r="B20" i="31" s="1"/>
  <c r="B19" i="31" a="1"/>
  <c r="B19" i="31" s="1"/>
  <c r="B18" i="31" a="1"/>
  <c r="B18" i="31" s="1"/>
  <c r="B17" i="31" a="1"/>
  <c r="B17" i="31" s="1"/>
  <c r="B16" i="31" a="1"/>
  <c r="B16" i="31" s="1"/>
  <c r="B15" i="31" a="1"/>
  <c r="B15" i="31" s="1"/>
  <c r="B14" i="31" a="1"/>
  <c r="B14" i="31" s="1"/>
  <c r="B13" i="31" a="1"/>
  <c r="B13" i="31" s="1"/>
  <c r="B12" i="31" a="1"/>
  <c r="B12" i="31" s="1"/>
  <c r="B11" i="31" a="1"/>
  <c r="B11" i="31" s="1"/>
  <c r="B10" i="31" a="1"/>
  <c r="B10" i="31" s="1"/>
  <c r="B9" i="31" a="1"/>
  <c r="B9" i="31" s="1"/>
  <c r="B8" i="31" a="1"/>
  <c r="B8" i="31" s="1"/>
  <c r="H7" i="31"/>
  <c r="G7" i="6"/>
  <c r="B5" i="32" l="1"/>
  <c r="F14" i="31"/>
  <c r="D20" i="31"/>
  <c r="E9" i="31"/>
  <c r="E21" i="31"/>
  <c r="F10" i="31"/>
  <c r="D16" i="31"/>
  <c r="E17" i="31"/>
  <c r="E13" i="31"/>
  <c r="D12" i="31"/>
  <c r="F18" i="31"/>
  <c r="I29" i="32" a="1"/>
  <c r="I29" i="32" s="1"/>
  <c r="J5" i="32" a="1"/>
  <c r="J5" i="32" s="1"/>
  <c r="K31" i="32" a="1"/>
  <c r="K31" i="32" s="1"/>
  <c r="K35" i="32" a="1"/>
  <c r="K35" i="32" s="1"/>
  <c r="J30" i="32" a="1"/>
  <c r="J30" i="32" s="1"/>
  <c r="I33" i="32" a="1"/>
  <c r="I33" i="32" s="1"/>
  <c r="J37" i="32" a="1"/>
  <c r="J37" i="32" s="1"/>
  <c r="K36" i="32" a="1"/>
  <c r="K36" i="32" s="1"/>
  <c r="J34" i="32" a="1"/>
  <c r="J34" i="32" s="1"/>
  <c r="J40" i="32" a="1"/>
  <c r="J40" i="32" s="1"/>
  <c r="J6" i="32" a="1"/>
  <c r="J6" i="32" s="1"/>
  <c r="I7" i="32" a="1"/>
  <c r="I7" i="32" s="1"/>
  <c r="K7" i="32" a="1"/>
  <c r="K7" i="32" s="1"/>
  <c r="J8" i="32" a="1"/>
  <c r="J8" i="32" s="1"/>
  <c r="I9" i="32" a="1"/>
  <c r="I9" i="32" s="1"/>
  <c r="K9" i="32" a="1"/>
  <c r="K9" i="32" s="1"/>
  <c r="J10" i="32" a="1"/>
  <c r="J10" i="32" s="1"/>
  <c r="I11" i="32" a="1"/>
  <c r="I11" i="32" s="1"/>
  <c r="K11" i="32" a="1"/>
  <c r="K11" i="32" s="1"/>
  <c r="J12" i="32" a="1"/>
  <c r="J12" i="32" s="1"/>
  <c r="I13" i="32" a="1"/>
  <c r="I13" i="32" s="1"/>
  <c r="K13" i="32" a="1"/>
  <c r="K13" i="32" s="1"/>
  <c r="J14" i="32" a="1"/>
  <c r="J14" i="32" s="1"/>
  <c r="I15" i="32" a="1"/>
  <c r="I15" i="32" s="1"/>
  <c r="K15" i="32" a="1"/>
  <c r="K15" i="32" s="1"/>
  <c r="J16" i="32" a="1"/>
  <c r="J16" i="32" s="1"/>
  <c r="I17" i="32" a="1"/>
  <c r="I17" i="32" s="1"/>
  <c r="K17" i="32" a="1"/>
  <c r="K17" i="32" s="1"/>
  <c r="J18" i="32" a="1"/>
  <c r="J18" i="32" s="1"/>
  <c r="I19" i="32" a="1"/>
  <c r="I19" i="32" s="1"/>
  <c r="K19" i="32" a="1"/>
  <c r="K19" i="32" s="1"/>
  <c r="J20" i="32" a="1"/>
  <c r="J20" i="32" s="1"/>
  <c r="I21" i="32" a="1"/>
  <c r="I21" i="32" s="1"/>
  <c r="K21" i="32" a="1"/>
  <c r="K21" i="32" s="1"/>
  <c r="J22" i="32" a="1"/>
  <c r="J22" i="32" s="1"/>
  <c r="I23" i="32" a="1"/>
  <c r="I23" i="32" s="1"/>
  <c r="K23" i="32" a="1"/>
  <c r="K23" i="32" s="1"/>
  <c r="J24" i="32" a="1"/>
  <c r="J24" i="32" s="1"/>
  <c r="I25" i="32" a="1"/>
  <c r="I25" i="32" s="1"/>
  <c r="K25" i="32" a="1"/>
  <c r="K25" i="32" s="1"/>
  <c r="J26" i="32" a="1"/>
  <c r="J26" i="32" s="1"/>
  <c r="I27" i="32" a="1"/>
  <c r="I27" i="32" s="1"/>
  <c r="K27" i="32" a="1"/>
  <c r="K27" i="32" s="1"/>
  <c r="I40" i="32" a="1"/>
  <c r="I40" i="32" s="1"/>
  <c r="J38" i="32" a="1"/>
  <c r="J38" i="32" s="1"/>
  <c r="I35" i="32" a="1"/>
  <c r="I35" i="32" s="1"/>
  <c r="K33" i="32" a="1"/>
  <c r="K33" i="32" s="1"/>
  <c r="J32" i="32" a="1"/>
  <c r="J32" i="32" s="1"/>
  <c r="I31" i="32" a="1"/>
  <c r="I31" i="32" s="1"/>
  <c r="K29" i="32" a="1"/>
  <c r="K29" i="32" s="1"/>
  <c r="J28" i="32" a="1"/>
  <c r="J28" i="32" s="1"/>
  <c r="I6" i="32" a="1"/>
  <c r="I6" i="32" s="1"/>
  <c r="K5" i="32" a="1"/>
  <c r="K5" i="32" s="1"/>
  <c r="J39" i="32" a="1"/>
  <c r="J39" i="32" s="1"/>
  <c r="K37" i="32" a="1"/>
  <c r="K37" i="32" s="1"/>
  <c r="I5" i="32" a="1"/>
  <c r="I5" i="32" s="1"/>
  <c r="K40" i="32" a="1"/>
  <c r="K40" i="32" s="1"/>
  <c r="I39" i="32" a="1"/>
  <c r="I39" i="32" s="1"/>
  <c r="I38" i="32" a="1"/>
  <c r="I38" i="32" s="1"/>
  <c r="J36" i="32" a="1"/>
  <c r="J36" i="32" s="1"/>
  <c r="K39" i="32" a="1"/>
  <c r="K39" i="32" s="1"/>
  <c r="K38" i="32" a="1"/>
  <c r="K38" i="32" s="1"/>
  <c r="I37" i="32" a="1"/>
  <c r="I37" i="32" s="1"/>
  <c r="I36" i="32" a="1"/>
  <c r="I36" i="32" s="1"/>
  <c r="J35" i="32" a="1"/>
  <c r="J35" i="32" s="1"/>
  <c r="K34" i="32" a="1"/>
  <c r="K34" i="32" s="1"/>
  <c r="I34" i="32" a="1"/>
  <c r="I34" i="32" s="1"/>
  <c r="J33" i="32" a="1"/>
  <c r="J33" i="32" s="1"/>
  <c r="K32" i="32" a="1"/>
  <c r="K32" i="32" s="1"/>
  <c r="I32" i="32" a="1"/>
  <c r="I32" i="32" s="1"/>
  <c r="J31" i="32" a="1"/>
  <c r="J31" i="32" s="1"/>
  <c r="K30" i="32" a="1"/>
  <c r="K30" i="32" s="1"/>
  <c r="I30" i="32" a="1"/>
  <c r="I30" i="32" s="1"/>
  <c r="J29" i="32" a="1"/>
  <c r="J29" i="32" s="1"/>
  <c r="K28" i="32" a="1"/>
  <c r="K28" i="32" s="1"/>
  <c r="I28" i="32" a="1"/>
  <c r="I28" i="32" s="1"/>
  <c r="J27" i="32" a="1"/>
  <c r="J27" i="32" s="1"/>
  <c r="K26" i="32" a="1"/>
  <c r="K26" i="32" s="1"/>
  <c r="I26" i="32" a="1"/>
  <c r="I26" i="32" s="1"/>
  <c r="J25" i="32" a="1"/>
  <c r="J25" i="32" s="1"/>
  <c r="K24" i="32" a="1"/>
  <c r="K24" i="32" s="1"/>
  <c r="I24" i="32" a="1"/>
  <c r="I24" i="32" s="1"/>
  <c r="J23" i="32" a="1"/>
  <c r="J23" i="32" s="1"/>
  <c r="K22" i="32" a="1"/>
  <c r="K22" i="32" s="1"/>
  <c r="I22" i="32" a="1"/>
  <c r="I22" i="32" s="1"/>
  <c r="J21" i="32" a="1"/>
  <c r="J21" i="32" s="1"/>
  <c r="K20" i="32" a="1"/>
  <c r="K20" i="32" s="1"/>
  <c r="I20" i="32" a="1"/>
  <c r="I20" i="32" s="1"/>
  <c r="J19" i="32" a="1"/>
  <c r="J19" i="32" s="1"/>
  <c r="K18" i="32" a="1"/>
  <c r="K18" i="32" s="1"/>
  <c r="I18" i="32" a="1"/>
  <c r="I18" i="32" s="1"/>
  <c r="J17" i="32" a="1"/>
  <c r="J17" i="32" s="1"/>
  <c r="K16" i="32" a="1"/>
  <c r="K16" i="32" s="1"/>
  <c r="I16" i="32" a="1"/>
  <c r="I16" i="32" s="1"/>
  <c r="J15" i="32" a="1"/>
  <c r="J15" i="32" s="1"/>
  <c r="K14" i="32" a="1"/>
  <c r="K14" i="32" s="1"/>
  <c r="I14" i="32" a="1"/>
  <c r="I14" i="32" s="1"/>
  <c r="J13" i="32" a="1"/>
  <c r="J13" i="32" s="1"/>
  <c r="K12" i="32" a="1"/>
  <c r="K12" i="32" s="1"/>
  <c r="I12" i="32" a="1"/>
  <c r="I12" i="32" s="1"/>
  <c r="J11" i="32" a="1"/>
  <c r="J11" i="32" s="1"/>
  <c r="K10" i="32" a="1"/>
  <c r="K10" i="32" s="1"/>
  <c r="I10" i="32" a="1"/>
  <c r="I10" i="32" s="1"/>
  <c r="J9" i="32" a="1"/>
  <c r="J9" i="32" s="1"/>
  <c r="K8" i="32" a="1"/>
  <c r="K8" i="32" s="1"/>
  <c r="I8" i="32" a="1"/>
  <c r="I8" i="32" s="1"/>
  <c r="J7" i="32" a="1"/>
  <c r="J7" i="32" s="1"/>
  <c r="K6" i="32" a="1"/>
  <c r="K6" i="32" s="1"/>
  <c r="F23" i="32" a="1"/>
  <c r="F23" i="32" s="1"/>
  <c r="B28" i="32" a="1"/>
  <c r="B28" i="32" s="1"/>
  <c r="P40" i="32" a="1"/>
  <c r="P40" i="32" s="1"/>
  <c r="F31" i="32" a="1"/>
  <c r="F31" i="32" s="1"/>
  <c r="H26" i="32" a="1"/>
  <c r="H26" i="32" s="1"/>
  <c r="O11" i="32" a="1"/>
  <c r="O11" i="32" s="1"/>
  <c r="M16" i="32" a="1"/>
  <c r="M16" i="32" s="1"/>
  <c r="P19" i="32" a="1"/>
  <c r="P19" i="32" s="1"/>
  <c r="M22" i="32" a="1"/>
  <c r="M22" i="32" s="1"/>
  <c r="G24" i="32" a="1"/>
  <c r="G24" i="32" s="1"/>
  <c r="M24" i="32" a="1"/>
  <c r="M24" i="32" s="1"/>
  <c r="G26" i="32" a="1"/>
  <c r="G26" i="32" s="1"/>
  <c r="M26" i="32" a="1"/>
  <c r="M26" i="32" s="1"/>
  <c r="G28" i="32" a="1"/>
  <c r="G28" i="32" s="1"/>
  <c r="M28" i="32" a="1"/>
  <c r="M28" i="32" s="1"/>
  <c r="G30" i="32" a="1"/>
  <c r="G30" i="32" s="1"/>
  <c r="M30" i="32" a="1"/>
  <c r="M30" i="32" s="1"/>
  <c r="N31" i="32" a="1"/>
  <c r="N31" i="32" s="1"/>
  <c r="N32" i="32" a="1"/>
  <c r="N32" i="32" s="1"/>
  <c r="N33" i="32" a="1"/>
  <c r="N33" i="32" s="1"/>
  <c r="O34" i="32" a="1"/>
  <c r="O34" i="32" s="1"/>
  <c r="D35" i="32" a="1"/>
  <c r="D35" i="32" s="1"/>
  <c r="G35" i="32" a="1"/>
  <c r="G35" i="32" s="1"/>
  <c r="O35" i="32" a="1"/>
  <c r="O35" i="32" s="1"/>
  <c r="D36" i="32" a="1"/>
  <c r="D36" i="32" s="1"/>
  <c r="G36" i="32" a="1"/>
  <c r="G36" i="32" s="1"/>
  <c r="O36" i="32" a="1"/>
  <c r="O36" i="32" s="1"/>
  <c r="D37" i="32" a="1"/>
  <c r="D37" i="32" s="1"/>
  <c r="G37" i="32" a="1"/>
  <c r="G37" i="32" s="1"/>
  <c r="O37" i="32" a="1"/>
  <c r="O37" i="32" s="1"/>
  <c r="D38" i="32" a="1"/>
  <c r="D38" i="32" s="1"/>
  <c r="G38" i="32" a="1"/>
  <c r="G38" i="32" s="1"/>
  <c r="O38" i="32" a="1"/>
  <c r="O38" i="32" s="1"/>
  <c r="D39" i="32" a="1"/>
  <c r="D39" i="32" s="1"/>
  <c r="G39" i="32" a="1"/>
  <c r="G39" i="32" s="1"/>
  <c r="O39" i="32" a="1"/>
  <c r="O39" i="32" s="1"/>
  <c r="D40" i="32" a="1"/>
  <c r="D40" i="32" s="1"/>
  <c r="G40" i="32" a="1"/>
  <c r="G40" i="32" s="1"/>
  <c r="O40" i="32" a="1"/>
  <c r="O40" i="32" s="1"/>
  <c r="B7" i="32" a="1"/>
  <c r="B7" i="32" s="1"/>
  <c r="B12" i="32" a="1"/>
  <c r="B12" i="32" s="1"/>
  <c r="B15" i="32" a="1"/>
  <c r="B15" i="32" s="1"/>
  <c r="B37" i="32" a="1"/>
  <c r="B37" i="32" s="1"/>
  <c r="B26" i="32" a="1"/>
  <c r="B26" i="32" s="1"/>
  <c r="B21" i="32" a="1"/>
  <c r="B21" i="32" s="1"/>
  <c r="B13" i="32" a="1"/>
  <c r="B13" i="32" s="1"/>
  <c r="M40" i="32" a="1"/>
  <c r="M40" i="32" s="1"/>
  <c r="H39" i="32" a="1"/>
  <c r="H39" i="32" s="1"/>
  <c r="M38" i="32" a="1"/>
  <c r="M38" i="32" s="1"/>
  <c r="H37" i="32" a="1"/>
  <c r="H37" i="32" s="1"/>
  <c r="M36" i="32" a="1"/>
  <c r="M36" i="32" s="1"/>
  <c r="H35" i="32" a="1"/>
  <c r="H35" i="32" s="1"/>
  <c r="M34" i="32" a="1"/>
  <c r="M34" i="32" s="1"/>
  <c r="F32" i="32" a="1"/>
  <c r="F32" i="32" s="1"/>
  <c r="N30" i="32" a="1"/>
  <c r="N30" i="32" s="1"/>
  <c r="F29" i="32" a="1"/>
  <c r="F29" i="32" s="1"/>
  <c r="C26" i="32" a="1"/>
  <c r="C26" i="32" s="1"/>
  <c r="H24" i="32" a="1"/>
  <c r="H24" i="32" s="1"/>
  <c r="N22" i="32" a="1"/>
  <c r="N22" i="32" s="1"/>
  <c r="P16" i="32" a="1"/>
  <c r="P16" i="32" s="1"/>
  <c r="B39" i="32" a="1"/>
  <c r="B39" i="32" s="1"/>
  <c r="B23" i="32" a="1"/>
  <c r="B23" i="32" s="1"/>
  <c r="P38" i="32" a="1"/>
  <c r="P38" i="32" s="1"/>
  <c r="P36" i="32" a="1"/>
  <c r="P36" i="32" s="1"/>
  <c r="P34" i="32" a="1"/>
  <c r="P34" i="32" s="1"/>
  <c r="C28" i="32" a="1"/>
  <c r="C28" i="32" s="1"/>
  <c r="N24" i="32" a="1"/>
  <c r="N24" i="32" s="1"/>
  <c r="B36" i="32" a="1"/>
  <c r="B36" i="32" s="1"/>
  <c r="B31" i="32" a="1"/>
  <c r="B31" i="32" s="1"/>
  <c r="B20" i="32" a="1"/>
  <c r="B20" i="32" s="1"/>
  <c r="B10" i="32" a="1"/>
  <c r="B10" i="32" s="1"/>
  <c r="P39" i="32" a="1"/>
  <c r="P39" i="32" s="1"/>
  <c r="P37" i="32" a="1"/>
  <c r="P37" i="32" s="1"/>
  <c r="P35" i="32" a="1"/>
  <c r="P35" i="32" s="1"/>
  <c r="F33" i="32" a="1"/>
  <c r="F33" i="32" s="1"/>
  <c r="H30" i="32" a="1"/>
  <c r="H30" i="32" s="1"/>
  <c r="N28" i="32" a="1"/>
  <c r="N28" i="32" s="1"/>
  <c r="F27" i="32" a="1"/>
  <c r="F27" i="32" s="1"/>
  <c r="C24" i="32" a="1"/>
  <c r="C24" i="32" s="1"/>
  <c r="M21" i="32" a="1"/>
  <c r="M21" i="32" s="1"/>
  <c r="B34" i="32" a="1"/>
  <c r="B34" i="32" s="1"/>
  <c r="B29" i="32" a="1"/>
  <c r="B29" i="32" s="1"/>
  <c r="B18" i="32" a="1"/>
  <c r="B18" i="32" s="1"/>
  <c r="H40" i="32" a="1"/>
  <c r="H40" i="32" s="1"/>
  <c r="M39" i="32" a="1"/>
  <c r="M39" i="32" s="1"/>
  <c r="H38" i="32" a="1"/>
  <c r="H38" i="32" s="1"/>
  <c r="M37" i="32" a="1"/>
  <c r="M37" i="32" s="1"/>
  <c r="H36" i="32" a="1"/>
  <c r="H36" i="32" s="1"/>
  <c r="M35" i="32" a="1"/>
  <c r="M35" i="32" s="1"/>
  <c r="F34" i="32" a="1"/>
  <c r="F34" i="32" s="1"/>
  <c r="C30" i="32" a="1"/>
  <c r="C30" i="32" s="1"/>
  <c r="H28" i="32" a="1"/>
  <c r="H28" i="32" s="1"/>
  <c r="N26" i="32" a="1"/>
  <c r="N26" i="32" s="1"/>
  <c r="F25" i="32" a="1"/>
  <c r="F25" i="32" s="1"/>
  <c r="N13" i="32" a="1"/>
  <c r="N13" i="32" s="1"/>
  <c r="M6" i="32" a="1"/>
  <c r="M6" i="32" s="1"/>
  <c r="B38" i="32" a="1"/>
  <c r="B38" i="32" s="1"/>
  <c r="B33" i="32" a="1"/>
  <c r="B33" i="32" s="1"/>
  <c r="B30" i="32" a="1"/>
  <c r="B30" i="32" s="1"/>
  <c r="B25" i="32" a="1"/>
  <c r="B25" i="32" s="1"/>
  <c r="B22" i="32" a="1"/>
  <c r="B22" i="32" s="1"/>
  <c r="B17" i="32" a="1"/>
  <c r="B17" i="32" s="1"/>
  <c r="B14" i="32" a="1"/>
  <c r="B14" i="32" s="1"/>
  <c r="B9" i="32" a="1"/>
  <c r="B9" i="32" s="1"/>
  <c r="B6" i="32" a="1"/>
  <c r="B6" i="32" s="1"/>
  <c r="F40" i="32" a="1"/>
  <c r="F40" i="32" s="1"/>
  <c r="C40" i="32" a="1"/>
  <c r="C40" i="32" s="1"/>
  <c r="F39" i="32" a="1"/>
  <c r="F39" i="32" s="1"/>
  <c r="C39" i="32" a="1"/>
  <c r="C39" i="32" s="1"/>
  <c r="F38" i="32" a="1"/>
  <c r="F38" i="32" s="1"/>
  <c r="C38" i="32" a="1"/>
  <c r="C38" i="32" s="1"/>
  <c r="F37" i="32" a="1"/>
  <c r="F37" i="32" s="1"/>
  <c r="C37" i="32" a="1"/>
  <c r="C37" i="32" s="1"/>
  <c r="F36" i="32" a="1"/>
  <c r="F36" i="32" s="1"/>
  <c r="C36" i="32" a="1"/>
  <c r="C36" i="32" s="1"/>
  <c r="F35" i="32" a="1"/>
  <c r="F35" i="32" s="1"/>
  <c r="C35" i="32" a="1"/>
  <c r="C35" i="32" s="1"/>
  <c r="C34" i="32" a="1"/>
  <c r="C34" i="32" s="1"/>
  <c r="C33" i="32" a="1"/>
  <c r="C33" i="32" s="1"/>
  <c r="C32" i="32" a="1"/>
  <c r="C32" i="32" s="1"/>
  <c r="C31" i="32" a="1"/>
  <c r="C31" i="32" s="1"/>
  <c r="F30" i="32" a="1"/>
  <c r="F30" i="32" s="1"/>
  <c r="N29" i="32" a="1"/>
  <c r="N29" i="32" s="1"/>
  <c r="H29" i="32" a="1"/>
  <c r="H29" i="32" s="1"/>
  <c r="C29" i="32" a="1"/>
  <c r="C29" i="32" s="1"/>
  <c r="F28" i="32" a="1"/>
  <c r="F28" i="32" s="1"/>
  <c r="N27" i="32" a="1"/>
  <c r="N27" i="32" s="1"/>
  <c r="H27" i="32" a="1"/>
  <c r="H27" i="32" s="1"/>
  <c r="C27" i="32" a="1"/>
  <c r="C27" i="32" s="1"/>
  <c r="F26" i="32" a="1"/>
  <c r="F26" i="32" s="1"/>
  <c r="N25" i="32" a="1"/>
  <c r="N25" i="32" s="1"/>
  <c r="H25" i="32" a="1"/>
  <c r="H25" i="32" s="1"/>
  <c r="C25" i="32" a="1"/>
  <c r="C25" i="32" s="1"/>
  <c r="F24" i="32" a="1"/>
  <c r="F24" i="32" s="1"/>
  <c r="N23" i="32" a="1"/>
  <c r="N23" i="32" s="1"/>
  <c r="H23" i="32" a="1"/>
  <c r="H23" i="32" s="1"/>
  <c r="C23" i="32" a="1"/>
  <c r="C23" i="32" s="1"/>
  <c r="P20" i="32" a="1"/>
  <c r="P20" i="32" s="1"/>
  <c r="M17" i="32" a="1"/>
  <c r="M17" i="32" s="1"/>
  <c r="C13" i="32" a="1"/>
  <c r="C13" i="32" s="1"/>
  <c r="F11" i="32" a="1"/>
  <c r="F11" i="32" s="1"/>
  <c r="H9" i="32" a="1"/>
  <c r="H9" i="32" s="1"/>
  <c r="C5" i="32" a="1"/>
  <c r="C5" i="32" s="1"/>
  <c r="P5" i="32" a="1"/>
  <c r="P5" i="32" s="1"/>
  <c r="G6" i="32" a="1"/>
  <c r="G6" i="32" s="1"/>
  <c r="N6" i="32" a="1"/>
  <c r="N6" i="32" s="1"/>
  <c r="D7" i="32" a="1"/>
  <c r="D7" i="32" s="1"/>
  <c r="P7" i="32" a="1"/>
  <c r="P7" i="32" s="1"/>
  <c r="G8" i="32" a="1"/>
  <c r="G8" i="32" s="1"/>
  <c r="N8" i="32" a="1"/>
  <c r="N8" i="32" s="1"/>
  <c r="D9" i="32" a="1"/>
  <c r="D9" i="32" s="1"/>
  <c r="P9" i="32" a="1"/>
  <c r="P9" i="32" s="1"/>
  <c r="G10" i="32" a="1"/>
  <c r="G10" i="32" s="1"/>
  <c r="N10" i="32" a="1"/>
  <c r="N10" i="32" s="1"/>
  <c r="D11" i="32" a="1"/>
  <c r="D11" i="32" s="1"/>
  <c r="P11" i="32" a="1"/>
  <c r="P11" i="32" s="1"/>
  <c r="G12" i="32" a="1"/>
  <c r="G12" i="32" s="1"/>
  <c r="N12" i="32" a="1"/>
  <c r="N12" i="32" s="1"/>
  <c r="D13" i="32" a="1"/>
  <c r="D13" i="32" s="1"/>
  <c r="O13" i="32" a="1"/>
  <c r="O13" i="32" s="1"/>
  <c r="D14" i="32" a="1"/>
  <c r="D14" i="32" s="1"/>
  <c r="H14" i="32" a="1"/>
  <c r="H14" i="32" s="1"/>
  <c r="N14" i="32" a="1"/>
  <c r="N14" i="32" s="1"/>
  <c r="C15" i="32" a="1"/>
  <c r="C15" i="32" s="1"/>
  <c r="F15" i="32" a="1"/>
  <c r="F15" i="32" s="1"/>
  <c r="G15" i="32" a="1"/>
  <c r="G15" i="32" s="1"/>
  <c r="N15" i="32" a="1"/>
  <c r="N15" i="32" s="1"/>
  <c r="C16" i="32" a="1"/>
  <c r="C16" i="32" s="1"/>
  <c r="F16" i="32" a="1"/>
  <c r="F16" i="32" s="1"/>
  <c r="G16" i="32" a="1"/>
  <c r="G16" i="32" s="1"/>
  <c r="N16" i="32" a="1"/>
  <c r="N16" i="32" s="1"/>
  <c r="C17" i="32" a="1"/>
  <c r="C17" i="32" s="1"/>
  <c r="F17" i="32" a="1"/>
  <c r="F17" i="32" s="1"/>
  <c r="G17" i="32" a="1"/>
  <c r="G17" i="32" s="1"/>
  <c r="N17" i="32" a="1"/>
  <c r="N17" i="32" s="1"/>
  <c r="C18" i="32" a="1"/>
  <c r="C18" i="32" s="1"/>
  <c r="F18" i="32" a="1"/>
  <c r="F18" i="32" s="1"/>
  <c r="G18" i="32" a="1"/>
  <c r="G18" i="32" s="1"/>
  <c r="N18" i="32" a="1"/>
  <c r="N18" i="32" s="1"/>
  <c r="C19" i="32" a="1"/>
  <c r="C19" i="32" s="1"/>
  <c r="F19" i="32" a="1"/>
  <c r="F19" i="32" s="1"/>
  <c r="G19" i="32" a="1"/>
  <c r="G19" i="32" s="1"/>
  <c r="N19" i="32" a="1"/>
  <c r="N19" i="32" s="1"/>
  <c r="C20" i="32" a="1"/>
  <c r="C20" i="32" s="1"/>
  <c r="F20" i="32" a="1"/>
  <c r="F20" i="32" s="1"/>
  <c r="G20" i="32" a="1"/>
  <c r="G20" i="32" s="1"/>
  <c r="N20" i="32" a="1"/>
  <c r="N20" i="32" s="1"/>
  <c r="C21" i="32" a="1"/>
  <c r="C21" i="32" s="1"/>
  <c r="F21" i="32" a="1"/>
  <c r="F21" i="32" s="1"/>
  <c r="G21" i="32" a="1"/>
  <c r="G21" i="32" s="1"/>
  <c r="N21" i="32" a="1"/>
  <c r="N21" i="32" s="1"/>
  <c r="C22" i="32" a="1"/>
  <c r="C22" i="32" s="1"/>
  <c r="F22" i="32" a="1"/>
  <c r="F22" i="32" s="1"/>
  <c r="G22" i="32" a="1"/>
  <c r="G22" i="32" s="1"/>
  <c r="D5" i="32" a="1"/>
  <c r="D5" i="32" s="1"/>
  <c r="M5" i="32" a="1"/>
  <c r="M5" i="32" s="1"/>
  <c r="C6" i="32" a="1"/>
  <c r="C6" i="32" s="1"/>
  <c r="F6" i="32" a="1"/>
  <c r="F6" i="32" s="1"/>
  <c r="H6" i="32" a="1"/>
  <c r="H6" i="32" s="1"/>
  <c r="M7" i="32" a="1"/>
  <c r="M7" i="32" s="1"/>
  <c r="C8" i="32" a="1"/>
  <c r="C8" i="32" s="1"/>
  <c r="F8" i="32" a="1"/>
  <c r="F8" i="32" s="1"/>
  <c r="H8" i="32" a="1"/>
  <c r="H8" i="32" s="1"/>
  <c r="M9" i="32" a="1"/>
  <c r="M9" i="32" s="1"/>
  <c r="C10" i="32" a="1"/>
  <c r="C10" i="32" s="1"/>
  <c r="F10" i="32" a="1"/>
  <c r="F10" i="32" s="1"/>
  <c r="H10" i="32" a="1"/>
  <c r="H10" i="32" s="1"/>
  <c r="O10" i="32" a="1"/>
  <c r="O10" i="32" s="1"/>
  <c r="M11" i="32" a="1"/>
  <c r="M11" i="32" s="1"/>
  <c r="C12" i="32" a="1"/>
  <c r="C12" i="32" s="1"/>
  <c r="F12" i="32" a="1"/>
  <c r="F12" i="32" s="1"/>
  <c r="H12" i="32" a="1"/>
  <c r="H12" i="32" s="1"/>
  <c r="O12" i="32" a="1"/>
  <c r="O12" i="32" s="1"/>
  <c r="P13" i="32" a="1"/>
  <c r="P13" i="32" s="1"/>
  <c r="O14" i="32" a="1"/>
  <c r="O14" i="32" s="1"/>
  <c r="D15" i="32" a="1"/>
  <c r="D15" i="32" s="1"/>
  <c r="H15" i="32" a="1"/>
  <c r="H15" i="32" s="1"/>
  <c r="D16" i="32" a="1"/>
  <c r="D16" i="32" s="1"/>
  <c r="H16" i="32" a="1"/>
  <c r="H16" i="32" s="1"/>
  <c r="D17" i="32" a="1"/>
  <c r="D17" i="32" s="1"/>
  <c r="H17" i="32" a="1"/>
  <c r="H17" i="32" s="1"/>
  <c r="D18" i="32" a="1"/>
  <c r="D18" i="32" s="1"/>
  <c r="H18" i="32" a="1"/>
  <c r="H18" i="32" s="1"/>
  <c r="D19" i="32" a="1"/>
  <c r="D19" i="32" s="1"/>
  <c r="H19" i="32" a="1"/>
  <c r="H19" i="32" s="1"/>
  <c r="D20" i="32" a="1"/>
  <c r="D20" i="32" s="1"/>
  <c r="H20" i="32" a="1"/>
  <c r="H20" i="32" s="1"/>
  <c r="D21" i="32" a="1"/>
  <c r="D21" i="32" s="1"/>
  <c r="H21" i="32" a="1"/>
  <c r="H21" i="32" s="1"/>
  <c r="D22" i="32" a="1"/>
  <c r="D22" i="32" s="1"/>
  <c r="H22" i="32" a="1"/>
  <c r="H22" i="32" s="1"/>
  <c r="G5" i="32" a="1"/>
  <c r="G5" i="32" s="1"/>
  <c r="N5" i="32" a="1"/>
  <c r="N5" i="32" s="1"/>
  <c r="D6" i="32" a="1"/>
  <c r="D6" i="32" s="1"/>
  <c r="P6" i="32" a="1"/>
  <c r="P6" i="32" s="1"/>
  <c r="G7" i="32" a="1"/>
  <c r="G7" i="32" s="1"/>
  <c r="N7" i="32" a="1"/>
  <c r="N7" i="32" s="1"/>
  <c r="D8" i="32" a="1"/>
  <c r="D8" i="32" s="1"/>
  <c r="P8" i="32" a="1"/>
  <c r="P8" i="32" s="1"/>
  <c r="G9" i="32" a="1"/>
  <c r="G9" i="32" s="1"/>
  <c r="N9" i="32" a="1"/>
  <c r="N9" i="32" s="1"/>
  <c r="D10" i="32" a="1"/>
  <c r="D10" i="32" s="1"/>
  <c r="P10" i="32" a="1"/>
  <c r="P10" i="32" s="1"/>
  <c r="G11" i="32" a="1"/>
  <c r="G11" i="32" s="1"/>
  <c r="N11" i="32" a="1"/>
  <c r="N11" i="32" s="1"/>
  <c r="D12" i="32" a="1"/>
  <c r="D12" i="32" s="1"/>
  <c r="P12" i="32" a="1"/>
  <c r="P12" i="32" s="1"/>
  <c r="G13" i="32" a="1"/>
  <c r="G13" i="32" s="1"/>
  <c r="M13" i="32" a="1"/>
  <c r="M13" i="32" s="1"/>
  <c r="P14" i="32" a="1"/>
  <c r="P14" i="32" s="1"/>
  <c r="O15" i="32" a="1"/>
  <c r="O15" i="32" s="1"/>
  <c r="O16" i="32" a="1"/>
  <c r="O16" i="32" s="1"/>
  <c r="O17" i="32" a="1"/>
  <c r="O17" i="32" s="1"/>
  <c r="O18" i="32" a="1"/>
  <c r="O18" i="32" s="1"/>
  <c r="O19" i="32" a="1"/>
  <c r="O19" i="32" s="1"/>
  <c r="O20" i="32" a="1"/>
  <c r="O20" i="32" s="1"/>
  <c r="O21" i="32" a="1"/>
  <c r="O21" i="32" s="1"/>
  <c r="F5" i="32" a="1"/>
  <c r="F5" i="32" s="1"/>
  <c r="C7" i="32" a="1"/>
  <c r="C7" i="32" s="1"/>
  <c r="M8" i="32" a="1"/>
  <c r="M8" i="32" s="1"/>
  <c r="H11" i="32" a="1"/>
  <c r="H11" i="32" s="1"/>
  <c r="F13" i="32" a="1"/>
  <c r="F13" i="32" s="1"/>
  <c r="C14" i="32" a="1"/>
  <c r="C14" i="32" s="1"/>
  <c r="M14" i="32" a="1"/>
  <c r="M14" i="32" s="1"/>
  <c r="P17" i="32" a="1"/>
  <c r="P17" i="32" s="1"/>
  <c r="M18" i="32" a="1"/>
  <c r="M18" i="32" s="1"/>
  <c r="P21" i="32" a="1"/>
  <c r="P21" i="32" s="1"/>
  <c r="D23" i="32" a="1"/>
  <c r="D23" i="32" s="1"/>
  <c r="O23" i="32" a="1"/>
  <c r="O23" i="32" s="1"/>
  <c r="D24" i="32" a="1"/>
  <c r="D24" i="32" s="1"/>
  <c r="O24" i="32" a="1"/>
  <c r="O24" i="32" s="1"/>
  <c r="D25" i="32" a="1"/>
  <c r="D25" i="32" s="1"/>
  <c r="O25" i="32" a="1"/>
  <c r="O25" i="32" s="1"/>
  <c r="D26" i="32" a="1"/>
  <c r="D26" i="32" s="1"/>
  <c r="O26" i="32" a="1"/>
  <c r="O26" i="32" s="1"/>
  <c r="D27" i="32" a="1"/>
  <c r="D27" i="32" s="1"/>
  <c r="O27" i="32" a="1"/>
  <c r="O27" i="32" s="1"/>
  <c r="D28" i="32" a="1"/>
  <c r="D28" i="32" s="1"/>
  <c r="O28" i="32" a="1"/>
  <c r="O28" i="32" s="1"/>
  <c r="D29" i="32" a="1"/>
  <c r="D29" i="32" s="1"/>
  <c r="O29" i="32" a="1"/>
  <c r="O29" i="32" s="1"/>
  <c r="D30" i="32" a="1"/>
  <c r="D30" i="32" s="1"/>
  <c r="O30" i="32" a="1"/>
  <c r="O30" i="32" s="1"/>
  <c r="D31" i="32" a="1"/>
  <c r="D31" i="32" s="1"/>
  <c r="G31" i="32" a="1"/>
  <c r="G31" i="32" s="1"/>
  <c r="O31" i="32" a="1"/>
  <c r="O31" i="32" s="1"/>
  <c r="D32" i="32" a="1"/>
  <c r="D32" i="32" s="1"/>
  <c r="G32" i="32" a="1"/>
  <c r="G32" i="32" s="1"/>
  <c r="O32" i="32" a="1"/>
  <c r="O32" i="32" s="1"/>
  <c r="D33" i="32" a="1"/>
  <c r="D33" i="32" s="1"/>
  <c r="G33" i="32" a="1"/>
  <c r="G33" i="32" s="1"/>
  <c r="O33" i="32" a="1"/>
  <c r="O33" i="32" s="1"/>
  <c r="D34" i="32" a="1"/>
  <c r="D34" i="32" s="1"/>
  <c r="G34" i="32" a="1"/>
  <c r="G34" i="32" s="1"/>
  <c r="H5" i="32" a="1"/>
  <c r="H5" i="32" s="1"/>
  <c r="F7" i="32" a="1"/>
  <c r="F7" i="32" s="1"/>
  <c r="C9" i="32" a="1"/>
  <c r="C9" i="32" s="1"/>
  <c r="O9" i="32" a="1"/>
  <c r="O9" i="32" s="1"/>
  <c r="M10" i="32" a="1"/>
  <c r="M10" i="32" s="1"/>
  <c r="H13" i="32" a="1"/>
  <c r="H13" i="32" s="1"/>
  <c r="F14" i="32" a="1"/>
  <c r="F14" i="32" s="1"/>
  <c r="M15" i="32" a="1"/>
  <c r="M15" i="32" s="1"/>
  <c r="P18" i="32" a="1"/>
  <c r="P18" i="32" s="1"/>
  <c r="M19" i="32" a="1"/>
  <c r="M19" i="32" s="1"/>
  <c r="O22" i="32" a="1"/>
  <c r="O22" i="32" s="1"/>
  <c r="P23" i="32" a="1"/>
  <c r="P23" i="32" s="1"/>
  <c r="P24" i="32" a="1"/>
  <c r="P24" i="32" s="1"/>
  <c r="P25" i="32" a="1"/>
  <c r="P25" i="32" s="1"/>
  <c r="P26" i="32" a="1"/>
  <c r="P26" i="32" s="1"/>
  <c r="P27" i="32" a="1"/>
  <c r="P27" i="32" s="1"/>
  <c r="P28" i="32" a="1"/>
  <c r="P28" i="32" s="1"/>
  <c r="P29" i="32" a="1"/>
  <c r="P29" i="32" s="1"/>
  <c r="P30" i="32" a="1"/>
  <c r="P30" i="32" s="1"/>
  <c r="H31" i="32" a="1"/>
  <c r="H31" i="32" s="1"/>
  <c r="M31" i="32" a="1"/>
  <c r="M31" i="32" s="1"/>
  <c r="P31" i="32" a="1"/>
  <c r="P31" i="32" s="1"/>
  <c r="H32" i="32" a="1"/>
  <c r="H32" i="32" s="1"/>
  <c r="M32" i="32" a="1"/>
  <c r="M32" i="32" s="1"/>
  <c r="P32" i="32" a="1"/>
  <c r="P32" i="32" s="1"/>
  <c r="H33" i="32" a="1"/>
  <c r="H33" i="32" s="1"/>
  <c r="M33" i="32" a="1"/>
  <c r="M33" i="32" s="1"/>
  <c r="P33" i="32" a="1"/>
  <c r="P33" i="32" s="1"/>
  <c r="H34" i="32" a="1"/>
  <c r="H34" i="32" s="1"/>
  <c r="B40" i="32" a="1"/>
  <c r="B40" i="32" s="1"/>
  <c r="B35" i="32" a="1"/>
  <c r="B35" i="32" s="1"/>
  <c r="B32" i="32" a="1"/>
  <c r="B32" i="32" s="1"/>
  <c r="B27" i="32" a="1"/>
  <c r="B27" i="32" s="1"/>
  <c r="B24" i="32" a="1"/>
  <c r="B24" i="32" s="1"/>
  <c r="B19" i="32" a="1"/>
  <c r="B19" i="32" s="1"/>
  <c r="B16" i="32" a="1"/>
  <c r="B16" i="32" s="1"/>
  <c r="B11" i="32" a="1"/>
  <c r="B11" i="32" s="1"/>
  <c r="B8" i="32" a="1"/>
  <c r="B8" i="32" s="1"/>
  <c r="N40" i="32" a="1"/>
  <c r="N40" i="32" s="1"/>
  <c r="N39" i="32" a="1"/>
  <c r="N39" i="32" s="1"/>
  <c r="N38" i="32" a="1"/>
  <c r="N38" i="32" s="1"/>
  <c r="N37" i="32" a="1"/>
  <c r="N37" i="32" s="1"/>
  <c r="N36" i="32" a="1"/>
  <c r="N36" i="32" s="1"/>
  <c r="N35" i="32" a="1"/>
  <c r="N35" i="32" s="1"/>
  <c r="N34" i="32" a="1"/>
  <c r="N34" i="32" s="1"/>
  <c r="M29" i="32" a="1"/>
  <c r="M29" i="32" s="1"/>
  <c r="G29" i="32" a="1"/>
  <c r="G29" i="32" s="1"/>
  <c r="M27" i="32" a="1"/>
  <c r="M27" i="32" s="1"/>
  <c r="G27" i="32" a="1"/>
  <c r="G27" i="32" s="1"/>
  <c r="M25" i="32" a="1"/>
  <c r="M25" i="32" s="1"/>
  <c r="G25" i="32" a="1"/>
  <c r="G25" i="32" s="1"/>
  <c r="M23" i="32" a="1"/>
  <c r="M23" i="32" s="1"/>
  <c r="G23" i="32" a="1"/>
  <c r="G23" i="32" s="1"/>
  <c r="P22" i="32" a="1"/>
  <c r="P22" i="32" s="1"/>
  <c r="M20" i="32" a="1"/>
  <c r="M20" i="32" s="1"/>
  <c r="P15" i="32" a="1"/>
  <c r="P15" i="32" s="1"/>
  <c r="G14" i="32" a="1"/>
  <c r="G14" i="32" s="1"/>
  <c r="M12" i="32" a="1"/>
  <c r="M12" i="32" s="1"/>
  <c r="C11" i="32" a="1"/>
  <c r="C11" i="32" s="1"/>
  <c r="F9" i="32" a="1"/>
  <c r="F9" i="32" s="1"/>
  <c r="H7" i="32" a="1"/>
  <c r="H7" i="32" s="1"/>
  <c r="E20" i="31"/>
  <c r="E16" i="31"/>
  <c r="E12" i="31"/>
  <c r="E8" i="31"/>
  <c r="E19" i="31"/>
  <c r="E15" i="31"/>
  <c r="E11" i="31"/>
  <c r="E18" i="31"/>
  <c r="E14" i="31"/>
  <c r="E10" i="31"/>
  <c r="F21" i="31"/>
  <c r="F17" i="31"/>
  <c r="F13" i="31"/>
  <c r="F9" i="31"/>
  <c r="F20" i="31"/>
  <c r="F16" i="31"/>
  <c r="F12" i="31"/>
  <c r="F8" i="31"/>
  <c r="F19" i="31"/>
  <c r="F15" i="31"/>
  <c r="F11" i="31"/>
  <c r="D19" i="31"/>
  <c r="D15" i="31"/>
  <c r="C20" i="31"/>
  <c r="C16" i="31"/>
  <c r="C12" i="31"/>
  <c r="D8" i="31"/>
  <c r="D11" i="31"/>
  <c r="C8" i="31"/>
  <c r="C19" i="31"/>
  <c r="C15" i="31"/>
  <c r="C11" i="31"/>
  <c r="D18" i="31"/>
  <c r="D14" i="31"/>
  <c r="D10" i="31"/>
  <c r="C18" i="31"/>
  <c r="C14" i="31"/>
  <c r="C10" i="31"/>
  <c r="D21" i="31"/>
  <c r="D17" i="31"/>
  <c r="D13" i="31"/>
  <c r="D9" i="31"/>
  <c r="C21" i="31"/>
  <c r="G21" i="31" s="1"/>
  <c r="C17" i="31"/>
  <c r="C13" i="31"/>
  <c r="C9" i="31"/>
  <c r="G9" i="31" l="1"/>
  <c r="G10" i="31"/>
  <c r="G19" i="31"/>
  <c r="G12" i="31"/>
  <c r="H12" i="31" s="1"/>
  <c r="G13" i="31"/>
  <c r="H13" i="31" s="1"/>
  <c r="G16" i="31"/>
  <c r="G17" i="31"/>
  <c r="G18" i="31"/>
  <c r="H18" i="31" s="1"/>
  <c r="G11" i="31"/>
  <c r="H11" i="31" s="1"/>
  <c r="G20" i="31"/>
  <c r="G14" i="31"/>
  <c r="H14" i="31" s="1"/>
  <c r="G8" i="31"/>
  <c r="H8" i="31" s="1"/>
  <c r="G15" i="31"/>
  <c r="H15" i="31" s="1"/>
  <c r="H21" i="31"/>
  <c r="H17" i="31"/>
  <c r="H10" i="31"/>
  <c r="H16" i="31"/>
  <c r="H9" i="31"/>
  <c r="H20" i="31"/>
  <c r="H19" i="31"/>
  <c r="E6" i="31"/>
  <c r="C6" i="31"/>
  <c r="F6" i="31"/>
  <c r="D6" i="31"/>
  <c r="H6" i="31" l="1"/>
  <c r="G6" i="31"/>
  <c r="B9" i="6" l="1" a="1"/>
  <c r="B9" i="6" s="1"/>
  <c r="B10" i="6" a="1"/>
  <c r="B10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18" i="6" a="1"/>
  <c r="B18" i="6" s="1"/>
  <c r="B19" i="6" a="1"/>
  <c r="B19" i="6" s="1"/>
  <c r="B20" i="6" a="1"/>
  <c r="B20" i="6" s="1"/>
  <c r="B21" i="6" a="1"/>
  <c r="B21" i="6" s="1"/>
  <c r="B8" i="6" a="1"/>
  <c r="B8" i="6" s="1"/>
  <c r="D12" i="6" l="1"/>
  <c r="F12" i="6"/>
  <c r="H12" i="6"/>
  <c r="D11" i="6"/>
  <c r="F11" i="6"/>
  <c r="H11" i="6"/>
  <c r="D16" i="6"/>
  <c r="H16" i="6"/>
  <c r="F16" i="6"/>
  <c r="D15" i="6"/>
  <c r="F15" i="6"/>
  <c r="H15" i="6"/>
  <c r="D18" i="6"/>
  <c r="F18" i="6"/>
  <c r="H18" i="6"/>
  <c r="D14" i="6"/>
  <c r="H14" i="6"/>
  <c r="F14" i="6"/>
  <c r="D10" i="6"/>
  <c r="F10" i="6"/>
  <c r="H10" i="6"/>
  <c r="D20" i="6"/>
  <c r="F20" i="6"/>
  <c r="H20" i="6"/>
  <c r="D19" i="6"/>
  <c r="F19" i="6"/>
  <c r="H19" i="6"/>
  <c r="D8" i="6"/>
  <c r="H8" i="6"/>
  <c r="F8" i="6"/>
  <c r="D21" i="6"/>
  <c r="H21" i="6"/>
  <c r="F21" i="6"/>
  <c r="D17" i="6"/>
  <c r="H17" i="6"/>
  <c r="F17" i="6"/>
  <c r="D13" i="6"/>
  <c r="H13" i="6"/>
  <c r="F13" i="6"/>
  <c r="D9" i="6"/>
  <c r="H9" i="6"/>
  <c r="F9" i="6"/>
  <c r="C8" i="6"/>
  <c r="L36" i="32" l="1" a="1"/>
  <c r="L36" i="32" s="1"/>
  <c r="L28" i="32" a="1"/>
  <c r="L28" i="32" s="1"/>
  <c r="L24" i="32" a="1"/>
  <c r="L24" i="32" s="1"/>
  <c r="L7" i="32" a="1"/>
  <c r="L7" i="32" s="1"/>
  <c r="L5" i="32" a="1"/>
  <c r="L5" i="32" s="1"/>
  <c r="L15" i="32" a="1"/>
  <c r="L15" i="32" s="1"/>
  <c r="L32" i="32" a="1"/>
  <c r="L32" i="32" s="1"/>
  <c r="L20" i="32" a="1"/>
  <c r="L20" i="32" s="1"/>
  <c r="L11" i="32" a="1"/>
  <c r="L11" i="32" s="1"/>
  <c r="L37" i="32" a="1"/>
  <c r="L37" i="32" s="1"/>
  <c r="L33" i="32" a="1"/>
  <c r="L33" i="32" s="1"/>
  <c r="L29" i="32" a="1"/>
  <c r="L29" i="32" s="1"/>
  <c r="L25" i="32" a="1"/>
  <c r="L25" i="32" s="1"/>
  <c r="L21" i="32" a="1"/>
  <c r="L21" i="32" s="1"/>
  <c r="L16" i="32" a="1"/>
  <c r="L16" i="32" s="1"/>
  <c r="L12" i="32" a="1"/>
  <c r="L12" i="32" s="1"/>
  <c r="L8" i="32" a="1"/>
  <c r="L8" i="32" s="1"/>
  <c r="L38" i="32" a="1"/>
  <c r="L38" i="32" s="1"/>
  <c r="L40" i="32" a="1"/>
  <c r="L40" i="32" s="1"/>
  <c r="L35" i="32" a="1"/>
  <c r="L35" i="32" s="1"/>
  <c r="L31" i="32" a="1"/>
  <c r="L31" i="32" s="1"/>
  <c r="L27" i="32" a="1"/>
  <c r="L27" i="32" s="1"/>
  <c r="L23" i="32" a="1"/>
  <c r="L23" i="32" s="1"/>
  <c r="L19" i="32" a="1"/>
  <c r="L19" i="32" s="1"/>
  <c r="L14" i="32" a="1"/>
  <c r="L14" i="32" s="1"/>
  <c r="L10" i="32" a="1"/>
  <c r="L10" i="32" s="1"/>
  <c r="L6" i="32" a="1"/>
  <c r="L6" i="32" s="1"/>
  <c r="L39" i="32" a="1"/>
  <c r="L39" i="32" s="1"/>
  <c r="L34" i="32" a="1"/>
  <c r="L34" i="32" s="1"/>
  <c r="L30" i="32" a="1"/>
  <c r="L30" i="32" s="1"/>
  <c r="L26" i="32" a="1"/>
  <c r="L26" i="32" s="1"/>
  <c r="L22" i="32" a="1"/>
  <c r="L22" i="32" s="1"/>
  <c r="L18" i="32" a="1"/>
  <c r="L18" i="32" s="1"/>
  <c r="L13" i="32" a="1"/>
  <c r="L13" i="32" s="1"/>
  <c r="L9" i="32" a="1"/>
  <c r="L9" i="32" s="1"/>
  <c r="L17" i="32" a="1"/>
  <c r="L17" i="32" s="1"/>
  <c r="O7" i="32" l="1" a="1"/>
  <c r="O7" i="32" s="1"/>
  <c r="O8" i="32" a="1"/>
  <c r="O8" i="32" s="1"/>
  <c r="C5" i="13"/>
  <c r="F5" i="13"/>
  <c r="O6" i="32" l="1" a="1"/>
  <c r="O6" i="32" s="1"/>
  <c r="O5" i="32" a="1"/>
  <c r="O5" i="32" s="1"/>
  <c r="G20" i="6"/>
  <c r="G16" i="6"/>
  <c r="G12" i="6"/>
  <c r="G8" i="6"/>
  <c r="G19" i="6"/>
  <c r="G15" i="6"/>
  <c r="G11" i="6"/>
  <c r="G18" i="6"/>
  <c r="G14" i="6"/>
  <c r="G10" i="6"/>
  <c r="G21" i="6"/>
  <c r="G17" i="6"/>
  <c r="G13" i="6"/>
  <c r="G9" i="6"/>
  <c r="C13" i="6" l="1"/>
  <c r="C18" i="6"/>
  <c r="C21" i="6"/>
  <c r="C15" i="6"/>
  <c r="C11" i="6"/>
  <c r="C20" i="6"/>
  <c r="C19" i="6"/>
  <c r="C12" i="6"/>
  <c r="C16" i="6"/>
  <c r="C17" i="6"/>
  <c r="C14" i="6"/>
  <c r="C10" i="6"/>
  <c r="C9" i="6"/>
  <c r="E12" i="32" a="1"/>
  <c r="E12" i="32" s="1"/>
  <c r="E16" i="32" a="1"/>
  <c r="E16" i="32" s="1"/>
  <c r="E21" i="32" a="1"/>
  <c r="E21" i="32" s="1"/>
  <c r="E25" i="32" a="1"/>
  <c r="E25" i="32" s="1"/>
  <c r="E33" i="32" a="1"/>
  <c r="E33" i="32" s="1"/>
  <c r="E37" i="32" a="1"/>
  <c r="E37" i="32" s="1"/>
  <c r="E7" i="6"/>
  <c r="E32" i="32" l="1" a="1"/>
  <c r="E32" i="32" s="1"/>
  <c r="E29" i="32" a="1"/>
  <c r="E29" i="32" s="1"/>
  <c r="E40" i="32" a="1"/>
  <c r="E40" i="32" s="1"/>
  <c r="E8" i="32" a="1"/>
  <c r="E8" i="32" s="1"/>
  <c r="E28" i="32" a="1"/>
  <c r="E28" i="32" s="1"/>
  <c r="E20" i="32" a="1"/>
  <c r="E20" i="32" s="1"/>
  <c r="E15" i="32" a="1"/>
  <c r="E15" i="32" s="1"/>
  <c r="E5" i="32" a="1"/>
  <c r="E5" i="32" s="1"/>
  <c r="E36" i="32" a="1"/>
  <c r="E36" i="32" s="1"/>
  <c r="E24" i="32" a="1"/>
  <c r="E24" i="32" s="1"/>
  <c r="E11" i="32" a="1"/>
  <c r="E11" i="32" s="1"/>
  <c r="E7" i="32" a="1"/>
  <c r="E7" i="32" s="1"/>
  <c r="E35" i="32" a="1"/>
  <c r="E35" i="32" s="1"/>
  <c r="E31" i="32" a="1"/>
  <c r="E31" i="32" s="1"/>
  <c r="E27" i="32" a="1"/>
  <c r="E27" i="32" s="1"/>
  <c r="E23" i="32" a="1"/>
  <c r="E23" i="32" s="1"/>
  <c r="E19" i="32" a="1"/>
  <c r="E19" i="32" s="1"/>
  <c r="E14" i="32" a="1"/>
  <c r="E14" i="32" s="1"/>
  <c r="E10" i="32" a="1"/>
  <c r="E10" i="32" s="1"/>
  <c r="E6" i="32" a="1"/>
  <c r="E6" i="32" s="1"/>
  <c r="E39" i="32" a="1"/>
  <c r="E39" i="32" s="1"/>
  <c r="E38" i="32" a="1"/>
  <c r="E38" i="32" s="1"/>
  <c r="E34" i="32" a="1"/>
  <c r="E34" i="32" s="1"/>
  <c r="E30" i="32" a="1"/>
  <c r="E30" i="32" s="1"/>
  <c r="E26" i="32" a="1"/>
  <c r="E26" i="32" s="1"/>
  <c r="E22" i="32" a="1"/>
  <c r="E22" i="32" s="1"/>
  <c r="E18" i="32" a="1"/>
  <c r="E18" i="32" s="1"/>
  <c r="E17" i="32" a="1"/>
  <c r="E17" i="32" s="1"/>
  <c r="E13" i="32" a="1"/>
  <c r="E13" i="32" s="1"/>
  <c r="E9" i="32" a="1"/>
  <c r="E9" i="32" s="1"/>
  <c r="E20" i="6"/>
  <c r="E16" i="6"/>
  <c r="E12" i="6"/>
  <c r="E19" i="6"/>
  <c r="E15" i="6"/>
  <c r="E11" i="6"/>
  <c r="E18" i="6"/>
  <c r="E14" i="6"/>
  <c r="E10" i="6"/>
  <c r="E8" i="6"/>
  <c r="I8" i="6" s="1"/>
  <c r="E21" i="6"/>
  <c r="E17" i="6"/>
  <c r="E13" i="6"/>
  <c r="E9" i="6"/>
  <c r="F7" i="6"/>
  <c r="I21" i="6" l="1"/>
  <c r="J21" i="6" s="1"/>
  <c r="I19" i="6"/>
  <c r="J19" i="6" s="1"/>
  <c r="I20" i="6"/>
  <c r="J20" i="6" s="1"/>
  <c r="J7" i="6"/>
  <c r="I7" i="6"/>
  <c r="H7" i="6"/>
  <c r="D7" i="6"/>
  <c r="I15" i="6" l="1"/>
  <c r="J15" i="6" s="1"/>
  <c r="I9" i="6"/>
  <c r="J9" i="6" s="1"/>
  <c r="I10" i="6"/>
  <c r="J10" i="6" s="1"/>
  <c r="I14" i="6"/>
  <c r="J14" i="6" s="1"/>
  <c r="J8" i="6"/>
  <c r="I17" i="6"/>
  <c r="J17" i="6" s="1"/>
  <c r="I12" i="6"/>
  <c r="J12" i="6" s="1"/>
  <c r="I13" i="6" l="1"/>
  <c r="J13" i="6" s="1"/>
  <c r="I18" i="6"/>
  <c r="J18" i="6" s="1"/>
  <c r="I16" i="6"/>
  <c r="J16" i="6" s="1"/>
  <c r="I11" i="6"/>
  <c r="J11" i="6" s="1"/>
  <c r="I6" i="6" l="1"/>
  <c r="J6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D32E40-922A-4F56-8A43-01BA0C08D2A9}" keepAlive="1" name="Query - Dipendenti" description="Connessione alla query 'Dipendenti' nella cartella di lavoro." type="5" refreshedVersion="0" background="1">
    <dbPr connection="Provider=Microsoft.Mashup.OleDb.1;Data Source=$Workbook$;Location=Dipendenti;Extended Properties=&quot;&quot;" command="SELECT * FROM [Dipendent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<sst xmlns="http://schemas.openxmlformats.org/spreadsheetml/2006/main" count="6447" uniqueCount="396">
  <si>
    <t>DIPENDENTE</t>
  </si>
  <si>
    <t>FERIE_ARR.TE</t>
  </si>
  <si>
    <t>CHIUSURE AZIENDALI</t>
  </si>
  <si>
    <t>FERIE_AP</t>
  </si>
  <si>
    <t>Data rif saldi</t>
  </si>
  <si>
    <t>Proiezione al</t>
  </si>
  <si>
    <t>h/ferie/mese</t>
  </si>
  <si>
    <t>DATA INIZIO</t>
  </si>
  <si>
    <t>ORE</t>
  </si>
  <si>
    <t>CATEGORIA</t>
  </si>
  <si>
    <t>FERIE_ARR.TE ORE</t>
  </si>
  <si>
    <t>REPARTO</t>
  </si>
  <si>
    <t>TIPO_CONTRATTO</t>
  </si>
  <si>
    <t>DATA_ASSUNZIONE</t>
  </si>
  <si>
    <t>Reparto</t>
  </si>
  <si>
    <t>SESSO</t>
  </si>
  <si>
    <t>QUALIFICA</t>
  </si>
  <si>
    <t>DATA_NASCITA</t>
  </si>
  <si>
    <t>B2</t>
  </si>
  <si>
    <t>A1</t>
  </si>
  <si>
    <t>ORE CONTRATTO</t>
  </si>
  <si>
    <t>LIVELLO</t>
  </si>
  <si>
    <t>DATA_TERMINE</t>
  </si>
  <si>
    <t>ETA'</t>
  </si>
  <si>
    <t>CODICE FISCALE</t>
  </si>
  <si>
    <t>Amministrazione</t>
  </si>
  <si>
    <t>HR</t>
  </si>
  <si>
    <t>IT</t>
  </si>
  <si>
    <t>ferie</t>
  </si>
  <si>
    <t>ferie_g</t>
  </si>
  <si>
    <t>MASCHIO</t>
  </si>
  <si>
    <t>FEMMINA</t>
  </si>
  <si>
    <t>45-49</t>
  </si>
  <si>
    <t>55-59</t>
  </si>
  <si>
    <t>Dashboard Interattiva HR</t>
  </si>
  <si>
    <t>Conteggio</t>
  </si>
  <si>
    <t>ANZIANITA'_AZIEN</t>
  </si>
  <si>
    <t>Media Età</t>
  </si>
  <si>
    <t>Media di ETA'</t>
  </si>
  <si>
    <t>Media di ANZIANITA'_AZIEN</t>
  </si>
  <si>
    <t>FAMIGLIA_PROF</t>
  </si>
  <si>
    <t>Tot</t>
  </si>
  <si>
    <t xml:space="preserve">Conteggio </t>
  </si>
  <si>
    <t>Età</t>
  </si>
  <si>
    <t>Sesso</t>
  </si>
  <si>
    <t>Contratto</t>
  </si>
  <si>
    <t>FTE</t>
  </si>
  <si>
    <t>Media Seniority</t>
  </si>
  <si>
    <t>Staff</t>
  </si>
  <si>
    <t>mal</t>
  </si>
  <si>
    <t>inf</t>
  </si>
  <si>
    <t>h/mese</t>
  </si>
  <si>
    <t>Livello</t>
  </si>
  <si>
    <t>PFORM</t>
  </si>
  <si>
    <t>MA1</t>
  </si>
  <si>
    <t>MAL</t>
  </si>
  <si>
    <t>INSERISCI NOME DIPENDENTE</t>
  </si>
  <si>
    <t>ma1</t>
  </si>
  <si>
    <t>ma1ant</t>
  </si>
  <si>
    <t>plutto</t>
  </si>
  <si>
    <t>pform</t>
  </si>
  <si>
    <t>don</t>
  </si>
  <si>
    <t>DATA_CESS_DECORRENZA</t>
  </si>
  <si>
    <t>MALOSP</t>
  </si>
  <si>
    <t>Elena Gallo</t>
  </si>
  <si>
    <t>Elena Bruno</t>
  </si>
  <si>
    <t>Simone Costa</t>
  </si>
  <si>
    <t>Martina Bruno</t>
  </si>
  <si>
    <t>Valentina Ricci</t>
  </si>
  <si>
    <t>Francesco Gallo</t>
  </si>
  <si>
    <t>Valentina Gallo</t>
  </si>
  <si>
    <t>Matteo Costa</t>
  </si>
  <si>
    <t>Sara Conti</t>
  </si>
  <si>
    <t>Giulia Bianchi</t>
  </si>
  <si>
    <t>Simone Colombo</t>
  </si>
  <si>
    <t>Giorgia Rossi</t>
  </si>
  <si>
    <t>Andrea Greco</t>
  </si>
  <si>
    <t>Chiara Romano</t>
  </si>
  <si>
    <t>Marco Gallo</t>
  </si>
  <si>
    <t>Simone Ricci</t>
  </si>
  <si>
    <t>Alessandro Esposito</t>
  </si>
  <si>
    <t>Luca Rossi</t>
  </si>
  <si>
    <t>Alessandro Ricci</t>
  </si>
  <si>
    <t>Andrea Bruno</t>
  </si>
  <si>
    <t>Marco Marino</t>
  </si>
  <si>
    <t>Federica Ricci</t>
  </si>
  <si>
    <t>Simone Russo</t>
  </si>
  <si>
    <t>Francesco Marino</t>
  </si>
  <si>
    <t>Elena Ricci</t>
  </si>
  <si>
    <t>Chiara Esposito</t>
  </si>
  <si>
    <t>Giorgia Bianchi</t>
  </si>
  <si>
    <t>Martina Bianchi</t>
  </si>
  <si>
    <t>Giulia Greco</t>
  </si>
  <si>
    <t>Valentina Bianchi</t>
  </si>
  <si>
    <t>Elena Colombo</t>
  </si>
  <si>
    <t>Giulia Bruno</t>
  </si>
  <si>
    <t>Andrea Colombo</t>
  </si>
  <si>
    <t>Marco Costa</t>
  </si>
  <si>
    <t>Matteo Marino</t>
  </si>
  <si>
    <t>Alessandro Marino</t>
  </si>
  <si>
    <t>Matteo Conti</t>
  </si>
  <si>
    <t>Chiara Ferrari</t>
  </si>
  <si>
    <t>Giorgia Costa</t>
  </si>
  <si>
    <t>Simone Bianchi</t>
  </si>
  <si>
    <t>Chiara Costa</t>
  </si>
  <si>
    <t>Martina Esposito</t>
  </si>
  <si>
    <t>Andrea Costa</t>
  </si>
  <si>
    <t>Valentina Conti</t>
  </si>
  <si>
    <t>Francesco Colombo</t>
  </si>
  <si>
    <t>Simone Mancini</t>
  </si>
  <si>
    <t>Andrea Mancini</t>
  </si>
  <si>
    <t>Simone Conti</t>
  </si>
  <si>
    <t>Giulia Costa</t>
  </si>
  <si>
    <t>Elena Conti</t>
  </si>
  <si>
    <t>Sara Bruno</t>
  </si>
  <si>
    <t>Andrea Marino</t>
  </si>
  <si>
    <t>Martina Gallo</t>
  </si>
  <si>
    <t>Marco Esposito</t>
  </si>
  <si>
    <t>Valentina Bruno</t>
  </si>
  <si>
    <t>Alessandro Bruno</t>
  </si>
  <si>
    <t>Elena Romano</t>
  </si>
  <si>
    <t>Matteo Ferrari</t>
  </si>
  <si>
    <t>Federica Conti</t>
  </si>
  <si>
    <t>Francesco Costa</t>
  </si>
  <si>
    <t>Luca Bianchi</t>
  </si>
  <si>
    <t>Giulia Russo</t>
  </si>
  <si>
    <t>Marco Bruno</t>
  </si>
  <si>
    <t>Sara Romano</t>
  </si>
  <si>
    <t>Giorgia Romano</t>
  </si>
  <si>
    <t>Matteo Greco</t>
  </si>
  <si>
    <t>Valentina Ferrari</t>
  </si>
  <si>
    <t>Valentina Rossi</t>
  </si>
  <si>
    <t>Francesco Bianchi</t>
  </si>
  <si>
    <t>Sara Costa</t>
  </si>
  <si>
    <t>Federica Russo</t>
  </si>
  <si>
    <t>Francesco Totti</t>
  </si>
  <si>
    <t>Giovanna Botteri</t>
  </si>
  <si>
    <t>Roberto Baggio</t>
  </si>
  <si>
    <t>Mina Mazzini</t>
  </si>
  <si>
    <t>Alberto Angela</t>
  </si>
  <si>
    <t>Luciana Littizzetto</t>
  </si>
  <si>
    <t>Paolo Sorrentino</t>
  </si>
  <si>
    <t>Emma Marrone</t>
  </si>
  <si>
    <t>Marco Mengoni</t>
  </si>
  <si>
    <t>Matteo Renzi</t>
  </si>
  <si>
    <t>Virginia Raggi</t>
  </si>
  <si>
    <t>Alessandro Cattelan</t>
  </si>
  <si>
    <t>Diletta Leotta</t>
  </si>
  <si>
    <t>Piero Angela</t>
  </si>
  <si>
    <t>Samantha Cristoforetti</t>
  </si>
  <si>
    <t>GALELE95B21C351X</t>
  </si>
  <si>
    <t>BRUELE96B21C351X</t>
  </si>
  <si>
    <t>COSSIM93A23C351X</t>
  </si>
  <si>
    <t>BRUMAR90B20C351X</t>
  </si>
  <si>
    <t>RICVAL97B05C351X</t>
  </si>
  <si>
    <t>GALFRA69A07C351X</t>
  </si>
  <si>
    <t>GALVAL70B15C351X</t>
  </si>
  <si>
    <t>COSMAT83A05C351X</t>
  </si>
  <si>
    <t>CONSAR85B06C351X</t>
  </si>
  <si>
    <t>BIAGIU81B28C351X</t>
  </si>
  <si>
    <t>COLSIM97A23C351X</t>
  </si>
  <si>
    <t>ROSGIO72B11C351X</t>
  </si>
  <si>
    <t>GREAND00B25C351X</t>
  </si>
  <si>
    <t>ROMCHI03B03C351X</t>
  </si>
  <si>
    <t>GALMAR86A16C351X</t>
  </si>
  <si>
    <t>RICSIM79A24C351X</t>
  </si>
  <si>
    <t>ESPALE77A22C351X</t>
  </si>
  <si>
    <t>ROSLUC98B06C351X</t>
  </si>
  <si>
    <t>RICALE87A05C351X</t>
  </si>
  <si>
    <t>RICVAL95B29C351X</t>
  </si>
  <si>
    <t>BRUAND73B01C351X</t>
  </si>
  <si>
    <t>MARMAR01A31C351X</t>
  </si>
  <si>
    <t>RICFED80B20C351X</t>
  </si>
  <si>
    <t>RUSSIM96A11C351X</t>
  </si>
  <si>
    <t>MARFRA76A11C351X</t>
  </si>
  <si>
    <t>RICELE97B08C351X</t>
  </si>
  <si>
    <t>RICVAL85B19C351X</t>
  </si>
  <si>
    <t>ESPCHI71B07C351X</t>
  </si>
  <si>
    <t>BIAGIO76B15C351X</t>
  </si>
  <si>
    <t>BIAMAR70B31C351X</t>
  </si>
  <si>
    <t>GREGIU71B20C351X</t>
  </si>
  <si>
    <t>BIAVAL88B23C351X</t>
  </si>
  <si>
    <t>COLELE95B27C351X</t>
  </si>
  <si>
    <t>BRUGIU74B23C351X</t>
  </si>
  <si>
    <t>COLAND97B04C351X</t>
  </si>
  <si>
    <t>COSMAR88A06C351X</t>
  </si>
  <si>
    <t>MARMAT92A22C351X</t>
  </si>
  <si>
    <t>MARALE91A05C351X</t>
  </si>
  <si>
    <t>GREAND92B22C351X</t>
  </si>
  <si>
    <t>CONMAT94A18C351X</t>
  </si>
  <si>
    <t>MARALE70A01C351X</t>
  </si>
  <si>
    <t>FERCHI86B15C351X</t>
  </si>
  <si>
    <t>COSGIO85B04C351X</t>
  </si>
  <si>
    <t>BIASIM68A10C351X</t>
  </si>
  <si>
    <t>COSCHI80B16C351X</t>
  </si>
  <si>
    <t>ESPMAR00B09C351X</t>
  </si>
  <si>
    <t>COSAND92B04C351X</t>
  </si>
  <si>
    <t>CONVAL92B20C351X</t>
  </si>
  <si>
    <t>COLFRA66A24C351X</t>
  </si>
  <si>
    <t>COLSIM86A23C351X</t>
  </si>
  <si>
    <t>MANSIM85A24C351X</t>
  </si>
  <si>
    <t>MANAND65B08C351X</t>
  </si>
  <si>
    <t>CONSIM72A10C351X</t>
  </si>
  <si>
    <t>COSGIU87B30C351X</t>
  </si>
  <si>
    <t>MARMAT80A10C351X</t>
  </si>
  <si>
    <t>CONELE91B21C351X</t>
  </si>
  <si>
    <t>BRUSAR75B17C351X</t>
  </si>
  <si>
    <t>MARAND87B26C351X</t>
  </si>
  <si>
    <t>GALMAR75B08C351X</t>
  </si>
  <si>
    <t>ESPMAR87A09C351X</t>
  </si>
  <si>
    <t>BRUVAL87B16C351X</t>
  </si>
  <si>
    <t>COSGIO87B20C351X</t>
  </si>
  <si>
    <t>BRUALE68A07C351X</t>
  </si>
  <si>
    <t>ROMELE99B06C351X</t>
  </si>
  <si>
    <t>FERMAT69A12C351X</t>
  </si>
  <si>
    <t>CONFED69B22C351X</t>
  </si>
  <si>
    <t>COSFRA72A08C351X</t>
  </si>
  <si>
    <t>BIALUC88B06C351X</t>
  </si>
  <si>
    <t>RUSGIU99B07C351X</t>
  </si>
  <si>
    <t>BRUMAR70A25C351X</t>
  </si>
  <si>
    <t>BIALUC77B18C351X</t>
  </si>
  <si>
    <t>ROMSAR02B31C351X</t>
  </si>
  <si>
    <t>COLELE91B10C351X</t>
  </si>
  <si>
    <t>CONMAT66A27C351X</t>
  </si>
  <si>
    <t>ESPALE64A07C351X</t>
  </si>
  <si>
    <t>ROMGIO75B15C351X</t>
  </si>
  <si>
    <t>GREMAT77A25C351X</t>
  </si>
  <si>
    <t>FERVAL73B27C351X</t>
  </si>
  <si>
    <t>ROSVAL99B28C351X</t>
  </si>
  <si>
    <t>BIAFRA78A21C351X</t>
  </si>
  <si>
    <t>COSSAR77B06C351X</t>
  </si>
  <si>
    <t>GREMAT94A07C351X</t>
  </si>
  <si>
    <t>CONSAR82B06C351X</t>
  </si>
  <si>
    <t>RUSFED90B27C351X</t>
  </si>
  <si>
    <t>BRUELE02B11C351X</t>
  </si>
  <si>
    <t>TOTFRA77A01C351X</t>
  </si>
  <si>
    <t>BOTGIO67B25C351X</t>
  </si>
  <si>
    <t>BAGROB76A17C351X</t>
  </si>
  <si>
    <t>MAZMIN62B13C351X</t>
  </si>
  <si>
    <t>ANGALB78A16C351X</t>
  </si>
  <si>
    <t>LITLUC66B25C351X</t>
  </si>
  <si>
    <t>SORPAO71A14C351X</t>
  </si>
  <si>
    <t>MAREMM87B09C351X</t>
  </si>
  <si>
    <t>MENMAR86A22C351X</t>
  </si>
  <si>
    <t>RENMAT61A09C351X</t>
  </si>
  <si>
    <t>RAGVIR71B30C351X</t>
  </si>
  <si>
    <t>CATALE88A12C351X</t>
  </si>
  <si>
    <t>LEODIL93B17C351X</t>
  </si>
  <si>
    <t>ANGPIE91A07C351X</t>
  </si>
  <si>
    <t>CRISAM65B23C351X</t>
  </si>
  <si>
    <t>21-09-1995</t>
  </si>
  <si>
    <t>21-06-1996</t>
  </si>
  <si>
    <t>23-04-1993</t>
  </si>
  <si>
    <t>20-10-1990</t>
  </si>
  <si>
    <t>05-06-1997</t>
  </si>
  <si>
    <t>07-10-1969</t>
  </si>
  <si>
    <t>15-10-1970</t>
  </si>
  <si>
    <t>05-09-1983</t>
  </si>
  <si>
    <t>06-08-1985</t>
  </si>
  <si>
    <t>28-05-1981</t>
  </si>
  <si>
    <t>23-12-1997</t>
  </si>
  <si>
    <t>11-02-1972</t>
  </si>
  <si>
    <t>25-06-2000</t>
  </si>
  <si>
    <t>03-04-2003</t>
  </si>
  <si>
    <t>16-11-1986</t>
  </si>
  <si>
    <t>24-09-1979</t>
  </si>
  <si>
    <t>22-12-1977</t>
  </si>
  <si>
    <t>06-05-1998</t>
  </si>
  <si>
    <t>05-12-1987</t>
  </si>
  <si>
    <t>29-07-1995</t>
  </si>
  <si>
    <t>01-12-1973</t>
  </si>
  <si>
    <t>31-10-2001</t>
  </si>
  <si>
    <t>20-01-1980</t>
  </si>
  <si>
    <t>11-04-1996</t>
  </si>
  <si>
    <t>11-10-1976</t>
  </si>
  <si>
    <t>08-06-1997</t>
  </si>
  <si>
    <t>19-07-1985</t>
  </si>
  <si>
    <t>07-02-1971</t>
  </si>
  <si>
    <t>15-05-1976</t>
  </si>
  <si>
    <t>31-10-1970</t>
  </si>
  <si>
    <t>20-03-1971</t>
  </si>
  <si>
    <t>23-06-1988</t>
  </si>
  <si>
    <t>27-05-1995</t>
  </si>
  <si>
    <t>23-09-1974</t>
  </si>
  <si>
    <t>04-09-1997</t>
  </si>
  <si>
    <t>06-07-1988</t>
  </si>
  <si>
    <t>22-04-1992</t>
  </si>
  <si>
    <t>05-05-1991</t>
  </si>
  <si>
    <t>18-09-1994</t>
  </si>
  <si>
    <t>01-04-1970</t>
  </si>
  <si>
    <t>15-09-1986</t>
  </si>
  <si>
    <t>04-08-1985</t>
  </si>
  <si>
    <t>10-07-1968</t>
  </si>
  <si>
    <t>16-02-1980</t>
  </si>
  <si>
    <t>09-08-2000</t>
  </si>
  <si>
    <t>04-02-1992</t>
  </si>
  <si>
    <t>20-01-1992</t>
  </si>
  <si>
    <t>24-09-1966</t>
  </si>
  <si>
    <t>23-03-1986</t>
  </si>
  <si>
    <t>24-01-1985</t>
  </si>
  <si>
    <t>08-08-1965</t>
  </si>
  <si>
    <t>10-03-1972</t>
  </si>
  <si>
    <t>30-04-1987</t>
  </si>
  <si>
    <t>10-11-1980</t>
  </si>
  <si>
    <t>21-07-1991</t>
  </si>
  <si>
    <t>17-03-1975</t>
  </si>
  <si>
    <t>26-07-1987</t>
  </si>
  <si>
    <t>08-09-1975</t>
  </si>
  <si>
    <t>09-05-1987</t>
  </si>
  <si>
    <t>16-10-1987</t>
  </si>
  <si>
    <t>20-02-1987</t>
  </si>
  <si>
    <t>07-01-1968</t>
  </si>
  <si>
    <t>06-01-1999</t>
  </si>
  <si>
    <t>12-11-1969</t>
  </si>
  <si>
    <t>22-07-1969</t>
  </si>
  <si>
    <t>08-02-1972</t>
  </si>
  <si>
    <t>06-01-1988</t>
  </si>
  <si>
    <t>07-03-1999</t>
  </si>
  <si>
    <t>25-01-1970</t>
  </si>
  <si>
    <t>18-07-1977</t>
  </si>
  <si>
    <t>31-07-2002</t>
  </si>
  <si>
    <t>10-10-1991</t>
  </si>
  <si>
    <t>27-11-1966</t>
  </si>
  <si>
    <t>07-08-1964</t>
  </si>
  <si>
    <t>15-04-1975</t>
  </si>
  <si>
    <t>25-04-1977</t>
  </si>
  <si>
    <t>27-10-1973</t>
  </si>
  <si>
    <t>28-12-1999</t>
  </si>
  <si>
    <t>21-06-1978</t>
  </si>
  <si>
    <t>06-05-1977</t>
  </si>
  <si>
    <t>07-10-1994</t>
  </si>
  <si>
    <t>06-10-1982</t>
  </si>
  <si>
    <t>27-04-1990</t>
  </si>
  <si>
    <t>11-10-2002</t>
  </si>
  <si>
    <t>01-11-1977</t>
  </si>
  <si>
    <t>25-10-1967</t>
  </si>
  <si>
    <t>17-06-1976</t>
  </si>
  <si>
    <t>13-11-1962</t>
  </si>
  <si>
    <t>16-10-1978</t>
  </si>
  <si>
    <t>25-07-1966</t>
  </si>
  <si>
    <t>14-06-1971</t>
  </si>
  <si>
    <t>09-06-1987</t>
  </si>
  <si>
    <t>22-08-1986</t>
  </si>
  <si>
    <t>09-06-1961</t>
  </si>
  <si>
    <t>30-06-1971</t>
  </si>
  <si>
    <t>12-07-1988</t>
  </si>
  <si>
    <t>17-12-1993</t>
  </si>
  <si>
    <t>07-04-1991</t>
  </si>
  <si>
    <t>23-09-1965</t>
  </si>
  <si>
    <t>HR Specialist</t>
  </si>
  <si>
    <t>Responsabile IT</t>
  </si>
  <si>
    <t>Marketing</t>
  </si>
  <si>
    <t>Business Analyst</t>
  </si>
  <si>
    <t>Sviluppatore</t>
  </si>
  <si>
    <t>Finance</t>
  </si>
  <si>
    <t>Logistica</t>
  </si>
  <si>
    <t>Contabile</t>
  </si>
  <si>
    <t>PMO</t>
  </si>
  <si>
    <t>R&amp;D</t>
  </si>
  <si>
    <t>Project Manager</t>
  </si>
  <si>
    <t>Addetto Vendite</t>
  </si>
  <si>
    <t>Customer Support</t>
  </si>
  <si>
    <t>Supporto</t>
  </si>
  <si>
    <t>Vendite</t>
  </si>
  <si>
    <t>Marketing Manager</t>
  </si>
  <si>
    <t>Analista Dati</t>
  </si>
  <si>
    <t>DATA_SCADENZA</t>
  </si>
  <si>
    <t>DATA_CESSAZIONE</t>
  </si>
  <si>
    <t>tempo pieno</t>
  </si>
  <si>
    <t>Tecnico</t>
  </si>
  <si>
    <t>C3</t>
  </si>
  <si>
    <t>Manager</t>
  </si>
  <si>
    <t>part-time</t>
  </si>
  <si>
    <t>D4</t>
  </si>
  <si>
    <t>Alessandro Fantozzi</t>
  </si>
  <si>
    <t>Alessandro Banfi</t>
  </si>
  <si>
    <t>Andrea Totti</t>
  </si>
  <si>
    <t>Elena Scirea</t>
  </si>
  <si>
    <t>Elena Baggio</t>
  </si>
  <si>
    <t>Giorgia Zoff</t>
  </si>
  <si>
    <t>Luca Albertini</t>
  </si>
  <si>
    <t>Matteo Berettini</t>
  </si>
  <si>
    <t>Matteo Sinner</t>
  </si>
  <si>
    <t>Matteo Peruzzi</t>
  </si>
  <si>
    <t>Sara Carnevale</t>
  </si>
  <si>
    <t>Simone Troisi</t>
  </si>
  <si>
    <t>Valentina Tropea</t>
  </si>
  <si>
    <t>Valentina Boldi</t>
  </si>
  <si>
    <t>elena</t>
  </si>
  <si>
    <t>25-29</t>
  </si>
  <si>
    <t>30-34</t>
  </si>
  <si>
    <t>35-39</t>
  </si>
  <si>
    <t>20-24</t>
  </si>
  <si>
    <t>40-44</t>
  </si>
  <si>
    <t>50-54</t>
  </si>
  <si>
    <t>60-64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</si>
</sst>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* #,##0.00\ _€_-;\-* #,##0.00\ _€_-;_-* &quot;-&quot;??\ _€_-;_-@_-"/>
    <numFmt numFmtId="165" formatCode="0.0"/>
    <numFmt numFmtId="166" formatCode="[$-F800]dddd\,\ mmmm\ dd\,\ yyyy"/>
    <numFmt numFmtId="167" formatCode="_-* #,##0_-;\-* #,##0_-;_-* &quot;-&quot;??_-;_-@_-"/>
    <numFmt numFmtId="168" formatCode="_-* #,##0.0_-;\-* #,##0.0_-;_-* &quot;-&quot;??_-;_-@_-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rgb="FF000000"/>
      <name val="Calibri"/>
      <family val="2"/>
    </font>
    <font>
      <b/>
      <sz val="24"/>
      <color theme="4"/>
      <name val="Aptos Narrow"/>
      <family val="2"/>
      <scheme val="minor"/>
    </font>
    <font>
      <b/>
      <sz val="18"/>
      <color theme="4" tint="0.39997558519241921"/>
      <name val="Aptos Narrow"/>
      <family val="2"/>
      <scheme val="minor"/>
    </font>
    <font>
      <b/>
      <sz val="16"/>
      <name val="Aptos Narrow"/>
      <family val="2"/>
      <scheme val="minor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b/>
      <sz val="9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0"/>
      <name val="Aptos Narrow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theme="9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5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 style="thick">
        <color theme="4" tint="0.39991454817346722"/>
      </left>
      <right/>
      <top style="thick">
        <color theme="4" tint="0.39991454817346722"/>
      </top>
      <bottom/>
      <diagonal/>
    </border>
    <border>
      <left/>
      <right/>
      <top style="thick">
        <color theme="4" tint="0.39991454817346722"/>
      </top>
      <bottom/>
      <diagonal/>
    </border>
    <border>
      <left/>
      <right style="thick">
        <color theme="4" tint="0.39991454817346722"/>
      </right>
      <top style="thick">
        <color theme="4" tint="0.39991454817346722"/>
      </top>
      <bottom/>
      <diagonal/>
    </border>
    <border>
      <left style="thick">
        <color theme="4" tint="0.39991454817346722"/>
      </left>
      <right/>
      <top/>
      <bottom/>
      <diagonal/>
    </border>
    <border>
      <left/>
      <right style="thick">
        <color theme="4" tint="0.39991454817346722"/>
      </right>
      <top/>
      <bottom/>
      <diagonal/>
    </border>
    <border>
      <left style="thick">
        <color theme="4" tint="0.39991454817346722"/>
      </left>
      <right/>
      <top/>
      <bottom style="thick">
        <color theme="4" tint="0.39991454817346722"/>
      </bottom>
      <diagonal/>
    </border>
    <border>
      <left/>
      <right/>
      <top/>
      <bottom style="thick">
        <color theme="4" tint="0.39991454817346722"/>
      </bottom>
      <diagonal/>
    </border>
    <border>
      <left/>
      <right style="thick">
        <color theme="4" tint="0.39991454817346722"/>
      </right>
      <top/>
      <bottom style="thick">
        <color theme="4" tint="0.3999145481734672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6" fillId="0" borderId="0"/>
    <xf numFmtId="9" fontId="4" fillId="0" borderId="0" applyFont="0" applyFill="0" applyBorder="0" applyAlignment="0" applyProtection="0"/>
    <xf numFmtId="0" fontId="10" fillId="0" borderId="0"/>
  </cellStyleXfs>
  <cellXfs count="80">
    <xf numFmtId="0" fontId="0" fillId="0" borderId="0" xfId="0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/>
    </xf>
    <xf numFmtId="43" fontId="0" fillId="0" borderId="0" xfId="1" applyFont="1"/>
    <xf numFmtId="0" fontId="5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43" fontId="0" fillId="0" borderId="0" xfId="1" applyFont="1" applyAlignment="1">
      <alignment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1" fontId="0" fillId="0" borderId="0" xfId="0" applyNumberFormat="1"/>
    <xf numFmtId="167" fontId="0" fillId="0" borderId="0" xfId="1" applyNumberFormat="1" applyFont="1"/>
    <xf numFmtId="49" fontId="0" fillId="0" borderId="0" xfId="0" applyNumberFormat="1"/>
    <xf numFmtId="43" fontId="0" fillId="0" borderId="0" xfId="0" applyNumberFormat="1"/>
    <xf numFmtId="168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7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9" borderId="1" xfId="0" applyFont="1" applyFill="1" applyBorder="1"/>
    <xf numFmtId="0" fontId="3" fillId="9" borderId="2" xfId="0" applyFont="1" applyFill="1" applyBorder="1"/>
    <xf numFmtId="0" fontId="3" fillId="10" borderId="0" xfId="0" applyFont="1" applyFill="1" applyAlignment="1">
      <alignment horizontal="center" vertical="center" wrapText="1"/>
    </xf>
    <xf numFmtId="164" fontId="0" fillId="0" borderId="0" xfId="0" applyNumberFormat="1"/>
    <xf numFmtId="166" fontId="5" fillId="15" borderId="0" xfId="0" applyNumberFormat="1" applyFont="1" applyFill="1" applyAlignment="1">
      <alignment horizontal="center" vertical="center" wrapText="1"/>
    </xf>
    <xf numFmtId="2" fontId="0" fillId="0" borderId="0" xfId="1" applyNumberFormat="1" applyFont="1" applyAlignment="1">
      <alignment wrapText="1"/>
    </xf>
    <xf numFmtId="0" fontId="0" fillId="16" borderId="0" xfId="0" applyFill="1"/>
    <xf numFmtId="2" fontId="0" fillId="16" borderId="0" xfId="0" applyNumberFormat="1" applyFill="1"/>
    <xf numFmtId="43" fontId="11" fillId="3" borderId="0" xfId="0" applyNumberFormat="1" applyFont="1" applyFill="1" applyAlignment="1">
      <alignment horizontal="center"/>
    </xf>
    <xf numFmtId="43" fontId="11" fillId="17" borderId="0" xfId="0" applyNumberFormat="1" applyFont="1" applyFill="1" applyAlignment="1">
      <alignment horizontal="center"/>
    </xf>
    <xf numFmtId="166" fontId="5" fillId="3" borderId="0" xfId="0" applyNumberFormat="1" applyFont="1" applyFill="1" applyAlignment="1">
      <alignment horizontal="center" vertical="center" wrapText="1"/>
    </xf>
    <xf numFmtId="166" fontId="5" fillId="12" borderId="0" xfId="0" applyNumberFormat="1" applyFont="1" applyFill="1" applyAlignment="1">
      <alignment horizontal="center" vertical="center" wrapText="1"/>
    </xf>
    <xf numFmtId="166" fontId="5" fillId="11" borderId="0" xfId="0" applyNumberFormat="1" applyFont="1" applyFill="1" applyAlignment="1">
      <alignment horizontal="center" vertical="center" wrapText="1"/>
    </xf>
    <xf numFmtId="0" fontId="0" fillId="13" borderId="11" xfId="0" applyFill="1" applyBorder="1" applyAlignment="1">
      <alignment vertical="center"/>
    </xf>
    <xf numFmtId="14" fontId="0" fillId="13" borderId="11" xfId="0" applyNumberFormat="1" applyFill="1" applyBorder="1" applyAlignment="1">
      <alignment vertical="center"/>
    </xf>
    <xf numFmtId="0" fontId="3" fillId="14" borderId="14" xfId="0" applyFont="1" applyFill="1" applyBorder="1" applyAlignment="1">
      <alignment horizontal="center"/>
    </xf>
    <xf numFmtId="0" fontId="3" fillId="14" borderId="13" xfId="0" applyFont="1" applyFill="1" applyBorder="1" applyAlignment="1">
      <alignment horizontal="center"/>
    </xf>
    <xf numFmtId="14" fontId="3" fillId="14" borderId="13" xfId="0" applyNumberFormat="1" applyFont="1" applyFill="1" applyBorder="1" applyAlignment="1">
      <alignment horizontal="center"/>
    </xf>
    <xf numFmtId="2" fontId="0" fillId="13" borderId="11" xfId="0" applyNumberFormat="1" applyFill="1" applyBorder="1" applyAlignment="1">
      <alignment vertical="center"/>
    </xf>
    <xf numFmtId="0" fontId="3" fillId="18" borderId="12" xfId="0" applyFont="1" applyFill="1" applyBorder="1"/>
    <xf numFmtId="0" fontId="0" fillId="0" borderId="12" xfId="0" applyBorder="1"/>
    <xf numFmtId="43" fontId="11" fillId="19" borderId="0" xfId="0" applyNumberFormat="1" applyFont="1" applyFill="1" applyAlignment="1">
      <alignment horizontal="center"/>
    </xf>
    <xf numFmtId="43" fontId="11" fillId="20" borderId="0" xfId="0" applyNumberFormat="1" applyFont="1" applyFill="1" applyAlignment="1">
      <alignment horizontal="center"/>
    </xf>
    <xf numFmtId="0" fontId="12" fillId="0" borderId="0" xfId="0" applyFont="1"/>
    <xf numFmtId="0" fontId="12" fillId="7" borderId="0" xfId="0" applyFont="1" applyFill="1"/>
    <xf numFmtId="9" fontId="12" fillId="0" borderId="0" xfId="3" applyFont="1"/>
    <xf numFmtId="14" fontId="12" fillId="0" borderId="0" xfId="0" applyNumberFormat="1" applyFont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14" fontId="14" fillId="0" borderId="0" xfId="0" applyNumberFormat="1" applyFont="1" applyAlignment="1">
      <alignment horizontal="center"/>
    </xf>
    <xf numFmtId="9" fontId="14" fillId="0" borderId="0" xfId="3" applyFont="1" applyAlignment="1">
      <alignment horizontal="center"/>
    </xf>
    <xf numFmtId="0" fontId="15" fillId="0" borderId="0" xfId="0" applyFont="1" applyAlignment="1">
      <alignment vertical="center"/>
    </xf>
    <xf numFmtId="14" fontId="15" fillId="0" borderId="0" xfId="0" applyNumberFormat="1" applyFont="1" applyAlignment="1">
      <alignment vertical="center"/>
    </xf>
    <xf numFmtId="167" fontId="15" fillId="0" borderId="0" xfId="1" applyNumberFormat="1" applyFont="1"/>
    <xf numFmtId="1" fontId="15" fillId="0" borderId="0" xfId="0" applyNumberFormat="1" applyFont="1" applyAlignment="1">
      <alignment vertic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9" fontId="15" fillId="0" borderId="0" xfId="3" applyFont="1" applyAlignment="1">
      <alignment vertical="center"/>
    </xf>
    <xf numFmtId="43" fontId="11" fillId="21" borderId="0" xfId="0" applyNumberFormat="1" applyFont="1" applyFill="1" applyAlignment="1">
      <alignment horizontal="center"/>
    </xf>
    <xf numFmtId="43" fontId="11" fillId="18" borderId="0" xfId="0" applyNumberFormat="1" applyFont="1" applyFill="1" applyAlignment="1">
      <alignment horizontal="center"/>
    </xf>
    <xf numFmtId="166" fontId="16" fillId="21" borderId="0" xfId="0" applyNumberFormat="1" applyFont="1" applyFill="1" applyAlignment="1">
      <alignment horizontal="center" vertical="center" wrapText="1"/>
    </xf>
    <xf numFmtId="166" fontId="16" fillId="3" borderId="0" xfId="0" applyNumberFormat="1" applyFont="1" applyFill="1" applyAlignment="1">
      <alignment horizontal="center" vertical="center" wrapText="1"/>
    </xf>
    <xf numFmtId="0" fontId="16" fillId="19" borderId="0" xfId="0" applyFont="1" applyFill="1" applyAlignment="1">
      <alignment horizontal="center" vertical="center" wrapText="1"/>
    </xf>
    <xf numFmtId="0" fontId="16" fillId="20" borderId="0" xfId="0" applyFont="1" applyFill="1" applyAlignment="1">
      <alignment horizontal="center" vertical="center" wrapText="1"/>
    </xf>
    <xf numFmtId="0" fontId="16" fillId="18" borderId="0" xfId="0" applyFont="1" applyFill="1" applyAlignment="1">
      <alignment horizontal="center" vertical="center" wrapText="1"/>
    </xf>
    <xf numFmtId="0" fontId="16" fillId="17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0" fontId="7" fillId="0" borderId="9" xfId="0" applyFont="1" applyBorder="1" applyAlignment="1">
      <alignment horizontal="center"/>
    </xf>
  </cellXfs>
  <cellStyles count="5">
    <cellStyle name="Migliaia" xfId="1" builtinId="3"/>
    <cellStyle name="Normale" xfId="0" builtinId="0"/>
    <cellStyle name="Normale 2" xfId="2" xr:uid="{00000000-0005-0000-0000-000002000000}"/>
    <cellStyle name="Normale 3" xfId="4" xr:uid="{00000000-0005-0000-0000-000003000000}"/>
    <cellStyle name="Percentuale" xfId="3" builtinId="5"/>
  </cellStyles>
  <dxfs count="26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13" formatCode="0%"/>
    </dxf>
    <dxf>
      <alignment horizontal="center"/>
    </dxf>
    <dxf>
      <alignment horizontal="center"/>
    </dxf>
    <dxf>
      <numFmt numFmtId="0" formatCode="General"/>
    </dxf>
    <dxf>
      <numFmt numFmtId="13" formatCode="0%"/>
    </dxf>
    <dxf>
      <numFmt numFmtId="13" formatCode="0%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13" formatCode="0%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1" formatCode="0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numFmt numFmtId="167" formatCode="_-* #,##0_-;\-* #,##0_-;_-* &quot;-&quot;??_-;_-@_-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19" formatCode="dd/mm/yyyy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3/09/relationships/Python" Target="python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[Database_Rep.xlsx]Dashboard!Tabella pivot2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1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1"/>
              <a:t>Distribuzione dipendenti per età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1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solidFill>
              <a:schemeClr val="accent1">
                <a:lumMod val="20000"/>
                <a:lumOff val="8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>
                  <a:lumMod val="20000"/>
                  <a:lumOff val="80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Dashboard!$B$11:$B$20</c:f>
              <c:strCache>
                <c:ptCount val="9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  <c:pt idx="5">
                  <c:v>45-49</c:v>
                </c:pt>
                <c:pt idx="6">
                  <c:v>50-54</c:v>
                </c:pt>
                <c:pt idx="7">
                  <c:v>55-59</c:v>
                </c:pt>
                <c:pt idx="8">
                  <c:v>60-64</c:v>
                </c:pt>
              </c:strCache>
            </c:strRef>
          </c:cat>
          <c:val>
            <c:numRef>
              <c:f>Dashboard!$C$11:$C$20</c:f>
              <c:numCache>
                <c:formatCode>General</c:formatCode>
                <c:ptCount val="9"/>
                <c:pt idx="0">
                  <c:v>6</c:v>
                </c:pt>
                <c:pt idx="1">
                  <c:v>13</c:v>
                </c:pt>
                <c:pt idx="2">
                  <c:v>13</c:v>
                </c:pt>
                <c:pt idx="3">
                  <c:v>19</c:v>
                </c:pt>
                <c:pt idx="4">
                  <c:v>5</c:v>
                </c:pt>
                <c:pt idx="5">
                  <c:v>14</c:v>
                </c:pt>
                <c:pt idx="6">
                  <c:v>14</c:v>
                </c:pt>
                <c:pt idx="7">
                  <c:v>13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D-4F4A-9D49-F2C707E91F1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7"/>
        <c:axId val="1838160991"/>
        <c:axId val="1838154751"/>
      </c:barChart>
      <c:catAx>
        <c:axId val="183816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8154751"/>
        <c:crosses val="autoZero"/>
        <c:auto val="1"/>
        <c:lblAlgn val="ctr"/>
        <c:lblOffset val="100"/>
        <c:noMultiLvlLbl val="0"/>
      </c:catAx>
      <c:valAx>
        <c:axId val="1838154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3816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[Database_Rep.xlsx]Dashboard!Tabella pivot8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Distribuzione dipendenti per sesso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Dashboard!$C$30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C02-4F48-BBC8-07F8BAAC91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C02-4F48-BBC8-07F8BAAC91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Dashboard!$B$31:$B$33</c:f>
              <c:strCache>
                <c:ptCount val="2"/>
                <c:pt idx="0">
                  <c:v>FEMMINA</c:v>
                </c:pt>
                <c:pt idx="1">
                  <c:v>MASCHIO</c:v>
                </c:pt>
              </c:strCache>
            </c:strRef>
          </c:cat>
          <c:val>
            <c:numRef>
              <c:f>Dashboard!$C$31:$C$33</c:f>
              <c:numCache>
                <c:formatCode>General</c:formatCode>
                <c:ptCount val="2"/>
                <c:pt idx="0">
                  <c:v>60</c:v>
                </c:pt>
                <c:pt idx="1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99-469A-8BC8-06DD9FE88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[Database_Rep.xlsx]Dashboard!Tabella pivot3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Distribuzione dipendenti per contratto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en-US" sz="1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Dashboard!$O$30</c:f>
              <c:strCache>
                <c:ptCount val="1"/>
                <c:pt idx="0">
                  <c:v>Totale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A0-4110-93DA-6DE3728331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A0-4110-93DA-6DE3728331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A0-4110-93DA-6DE3728331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A0-4110-93DA-6DE3728331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97-41DE-B50D-27C5EB33088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Dashboard!$N$31:$N$33</c:f>
              <c:strCache>
                <c:ptCount val="2"/>
                <c:pt idx="0">
                  <c:v>tempo pieno</c:v>
                </c:pt>
                <c:pt idx="1">
                  <c:v>part-time</c:v>
                </c:pt>
              </c:strCache>
            </c:strRef>
          </c:cat>
          <c:val>
            <c:numRef>
              <c:f>Dashboard!$O$31:$O$33</c:f>
              <c:numCache>
                <c:formatCode>General</c:formatCode>
                <c:ptCount val="2"/>
                <c:pt idx="0">
                  <c:v>49</c:v>
                </c:pt>
                <c:pt idx="1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09-4723-B2FF-61A4CDFD9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[Database_Rep.xlsx]Dashboard!Tabella pivot17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1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Distribuzione dipendenti per livello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400" b="1" i="1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ivotFmts>
      <c:pivotFmt>
        <c:idx val="0"/>
        <c:spPr>
          <a:solidFill>
            <a:schemeClr val="tx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Dashboard!$G$48</c:f>
              <c:strCache>
                <c:ptCount val="1"/>
                <c:pt idx="0">
                  <c:v>Totale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Dashboard!$F$49:$F$53</c:f>
              <c:strCache>
                <c:ptCount val="4"/>
                <c:pt idx="0">
                  <c:v>A1</c:v>
                </c:pt>
                <c:pt idx="1">
                  <c:v>B2</c:v>
                </c:pt>
                <c:pt idx="2">
                  <c:v>C3</c:v>
                </c:pt>
                <c:pt idx="3">
                  <c:v>D4</c:v>
                </c:pt>
              </c:strCache>
            </c:strRef>
          </c:cat>
          <c:val>
            <c:numRef>
              <c:f>Dashboard!$G$49:$G$53</c:f>
              <c:numCache>
                <c:formatCode>General</c:formatCode>
                <c:ptCount val="4"/>
                <c:pt idx="0">
                  <c:v>29</c:v>
                </c:pt>
                <c:pt idx="1">
                  <c:v>19</c:v>
                </c:pt>
                <c:pt idx="2">
                  <c:v>20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8-49D2-9239-22F2F8E86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"/>
        <c:overlap val="-27"/>
        <c:axId val="631214223"/>
        <c:axId val="822025055"/>
      </c:barChart>
      <c:catAx>
        <c:axId val="63121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22025055"/>
        <c:crosses val="autoZero"/>
        <c:auto val="1"/>
        <c:lblAlgn val="ctr"/>
        <c:lblOffset val="100"/>
        <c:noMultiLvlLbl val="0"/>
      </c:catAx>
      <c:valAx>
        <c:axId val="82202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3121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173737991488929E-2"/>
          <c:y val="3.3417710860492895E-2"/>
          <c:w val="0.92911428789847872"/>
          <c:h val="0.793483331092728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Report_Assenze!$C$7</c:f>
              <c:strCache>
                <c:ptCount val="1"/>
                <c:pt idx="0">
                  <c:v>MALATTIE AL 01/02/2025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Report_Assenze!$B$8:$B$21</c:f>
              <c:strCache>
                <c:ptCount val="13"/>
                <c:pt idx="0">
                  <c:v>Alessandro Esposito</c:v>
                </c:pt>
                <c:pt idx="1">
                  <c:v>Andrea Totti</c:v>
                </c:pt>
                <c:pt idx="2">
                  <c:v>Chiara Romano</c:v>
                </c:pt>
                <c:pt idx="3">
                  <c:v>Elena Gallo</c:v>
                </c:pt>
                <c:pt idx="4">
                  <c:v>Elena Romano</c:v>
                </c:pt>
                <c:pt idx="5">
                  <c:v>Francesco Totti</c:v>
                </c:pt>
                <c:pt idx="6">
                  <c:v>Marco Mengoni</c:v>
                </c:pt>
                <c:pt idx="7">
                  <c:v>Martina Gallo</c:v>
                </c:pt>
                <c:pt idx="8">
                  <c:v>Matteo Sinner</c:v>
                </c:pt>
                <c:pt idx="9">
                  <c:v>Sara Bruno</c:v>
                </c:pt>
                <c:pt idx="10">
                  <c:v>Simone Russo</c:v>
                </c:pt>
                <c:pt idx="11">
                  <c:v>Valentina Ferrari</c:v>
                </c:pt>
                <c:pt idx="12">
                  <c:v>Valentina Ricci</c:v>
                </c:pt>
              </c:strCache>
            </c:strRef>
          </c:cat>
          <c:val>
            <c:numRef>
              <c:f>Report_Assenze!$C$8:$C$21</c:f>
              <c:numCache>
                <c:formatCode>_(* #,##0.00_);_(* \(#,##0.00\);_(* "-"??_);_(@_)</c:formatCode>
                <c:ptCount val="14"/>
                <c:pt idx="0">
                  <c:v>13.2</c:v>
                </c:pt>
                <c:pt idx="1">
                  <c:v>7.2</c:v>
                </c:pt>
                <c:pt idx="2">
                  <c:v>13.2</c:v>
                </c:pt>
                <c:pt idx="3">
                  <c:v>8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28.8</c:v>
                </c:pt>
                <c:pt idx="8">
                  <c:v>7.2</c:v>
                </c:pt>
                <c:pt idx="9">
                  <c:v>14.4</c:v>
                </c:pt>
                <c:pt idx="10">
                  <c:v>14.4</c:v>
                </c:pt>
                <c:pt idx="11">
                  <c:v>27.4</c:v>
                </c:pt>
                <c:pt idx="12">
                  <c:v>32.799999999999997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B9-499C-9A5A-FAF6AE151CA0}"/>
            </c:ext>
          </c:extLst>
        </c:ser>
        <c:ser>
          <c:idx val="1"/>
          <c:order val="1"/>
          <c:tx>
            <c:strRef>
              <c:f>Report_Assenze!$D$7</c:f>
              <c:strCache>
                <c:ptCount val="1"/>
                <c:pt idx="0">
                  <c:v>INFORTUNI AL 01/02/2025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Report_Assenze!$B$8:$B$21</c:f>
              <c:strCache>
                <c:ptCount val="13"/>
                <c:pt idx="0">
                  <c:v>Alessandro Esposito</c:v>
                </c:pt>
                <c:pt idx="1">
                  <c:v>Andrea Totti</c:v>
                </c:pt>
                <c:pt idx="2">
                  <c:v>Chiara Romano</c:v>
                </c:pt>
                <c:pt idx="3">
                  <c:v>Elena Gallo</c:v>
                </c:pt>
                <c:pt idx="4">
                  <c:v>Elena Romano</c:v>
                </c:pt>
                <c:pt idx="5">
                  <c:v>Francesco Totti</c:v>
                </c:pt>
                <c:pt idx="6">
                  <c:v>Marco Mengoni</c:v>
                </c:pt>
                <c:pt idx="7">
                  <c:v>Martina Gallo</c:v>
                </c:pt>
                <c:pt idx="8">
                  <c:v>Matteo Sinner</c:v>
                </c:pt>
                <c:pt idx="9">
                  <c:v>Sara Bruno</c:v>
                </c:pt>
                <c:pt idx="10">
                  <c:v>Simone Russo</c:v>
                </c:pt>
                <c:pt idx="11">
                  <c:v>Valentina Ferrari</c:v>
                </c:pt>
                <c:pt idx="12">
                  <c:v>Valentina Ricci</c:v>
                </c:pt>
              </c:strCache>
            </c:strRef>
          </c:cat>
          <c:val>
            <c:numRef>
              <c:f>Report_Assenze!$D$8:$D$21</c:f>
              <c:numCache>
                <c:formatCode>_(* #,##0.00_);_(* \(#,##0.00\);_(* "-"??_);_(@_)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B9-499C-9A5A-FAF6AE151CA0}"/>
            </c:ext>
          </c:extLst>
        </c:ser>
        <c:ser>
          <c:idx val="2"/>
          <c:order val="2"/>
          <c:tx>
            <c:strRef>
              <c:f>Report_Assenze!$E$7</c:f>
              <c:strCache>
                <c:ptCount val="1"/>
                <c:pt idx="0">
                  <c:v>MATERNITA' AL 01/02/2025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Report_Assenze!$B$8:$B$21</c:f>
              <c:strCache>
                <c:ptCount val="13"/>
                <c:pt idx="0">
                  <c:v>Alessandro Esposito</c:v>
                </c:pt>
                <c:pt idx="1">
                  <c:v>Andrea Totti</c:v>
                </c:pt>
                <c:pt idx="2">
                  <c:v>Chiara Romano</c:v>
                </c:pt>
                <c:pt idx="3">
                  <c:v>Elena Gallo</c:v>
                </c:pt>
                <c:pt idx="4">
                  <c:v>Elena Romano</c:v>
                </c:pt>
                <c:pt idx="5">
                  <c:v>Francesco Totti</c:v>
                </c:pt>
                <c:pt idx="6">
                  <c:v>Marco Mengoni</c:v>
                </c:pt>
                <c:pt idx="7">
                  <c:v>Martina Gallo</c:v>
                </c:pt>
                <c:pt idx="8">
                  <c:v>Matteo Sinner</c:v>
                </c:pt>
                <c:pt idx="9">
                  <c:v>Sara Bruno</c:v>
                </c:pt>
                <c:pt idx="10">
                  <c:v>Simone Russo</c:v>
                </c:pt>
                <c:pt idx="11">
                  <c:v>Valentina Ferrari</c:v>
                </c:pt>
                <c:pt idx="12">
                  <c:v>Valentina Ricci</c:v>
                </c:pt>
              </c:strCache>
            </c:strRef>
          </c:cat>
          <c:val>
            <c:numRef>
              <c:f>Report_Assenze!$E$8:$E$21</c:f>
              <c:numCache>
                <c:formatCode>_(* #,##0.00_);_(* \(#,##0.00\);_(* "-"??_);_(@_)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32.4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  <c:pt idx="12">
                  <c:v>25.2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B9-499C-9A5A-FAF6AE151CA0}"/>
            </c:ext>
          </c:extLst>
        </c:ser>
        <c:ser>
          <c:idx val="3"/>
          <c:order val="3"/>
          <c:tx>
            <c:strRef>
              <c:f>Report_Assenze!$F$7</c:f>
              <c:strCache>
                <c:ptCount val="1"/>
                <c:pt idx="0">
                  <c:v>PERM_FORMAZIONE AL 01/02/2025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Report_Assenze!$B$8:$B$21</c:f>
              <c:strCache>
                <c:ptCount val="13"/>
                <c:pt idx="0">
                  <c:v>Alessandro Esposito</c:v>
                </c:pt>
                <c:pt idx="1">
                  <c:v>Andrea Totti</c:v>
                </c:pt>
                <c:pt idx="2">
                  <c:v>Chiara Romano</c:v>
                </c:pt>
                <c:pt idx="3">
                  <c:v>Elena Gallo</c:v>
                </c:pt>
                <c:pt idx="4">
                  <c:v>Elena Romano</c:v>
                </c:pt>
                <c:pt idx="5">
                  <c:v>Francesco Totti</c:v>
                </c:pt>
                <c:pt idx="6">
                  <c:v>Marco Mengoni</c:v>
                </c:pt>
                <c:pt idx="7">
                  <c:v>Martina Gallo</c:v>
                </c:pt>
                <c:pt idx="8">
                  <c:v>Matteo Sinner</c:v>
                </c:pt>
                <c:pt idx="9">
                  <c:v>Sara Bruno</c:v>
                </c:pt>
                <c:pt idx="10">
                  <c:v>Simone Russo</c:v>
                </c:pt>
                <c:pt idx="11">
                  <c:v>Valentina Ferrari</c:v>
                </c:pt>
                <c:pt idx="12">
                  <c:v>Valentina Ricci</c:v>
                </c:pt>
              </c:strCache>
            </c:strRef>
          </c:cat>
          <c:val>
            <c:numRef>
              <c:f>Report_Assenze!$F$8:$F$21</c:f>
              <c:numCache>
                <c:formatCode>_(* #,##0.00_);_(* \(#,##0.00\);_(* "-"??_);_(@_)</c:formatCode>
                <c:ptCount val="14"/>
                <c:pt idx="0">
                  <c:v>0</c:v>
                </c:pt>
                <c:pt idx="1">
                  <c:v>7.2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7.2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B9-499C-9A5A-FAF6AE151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9372112"/>
        <c:axId val="1199378352"/>
      </c:barChart>
      <c:catAx>
        <c:axId val="119937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9378352"/>
        <c:crosses val="autoZero"/>
        <c:auto val="1"/>
        <c:lblAlgn val="ctr"/>
        <c:lblOffset val="100"/>
        <c:noMultiLvlLbl val="0"/>
      </c:catAx>
      <c:valAx>
        <c:axId val="1199378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937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  <cx:data id="2">
      <cx:strDim type="cat">
        <cx:f>_xlchart.v1.0</cx:f>
      </cx:strDim>
      <cx:numDim type="val">
        <cx:f>_xlchart.v1.3</cx:f>
      </cx:numDim>
    </cx:data>
    <cx:data id="3">
      <cx:strDim type="cat">
        <cx:f>_xlchart.v1.0</cx:f>
      </cx:strDim>
      <cx:numDim type="val">
        <cx:f>_xlchart.v1.4</cx:f>
      </cx:numDim>
    </cx:data>
    <cx:data id="4">
      <cx:strDim type="cat">
        <cx:f>_xlchart.v1.0</cx:f>
      </cx:strDim>
      <cx:numDim type="val">
        <cx:f>_xlchart.v1.5</cx:f>
      </cx:numDim>
    </cx:data>
    <cx:data id="5">
      <cx:strDim type="cat">
        <cx:f>_xlchart.v1.0</cx:f>
      </cx:strDim>
      <cx:numDim type="val">
        <cx:f>_xlchart.v1.6</cx:f>
      </cx:numDim>
    </cx:data>
    <cx:data id="6">
      <cx:strDim type="cat">
        <cx:f>_xlchart.v1.0</cx:f>
      </cx:strDim>
      <cx:numDim type="val">
        <cx:f>_xlchart.v1.7</cx:f>
      </cx:numDim>
    </cx:data>
    <cx:data id="7">
      <cx:strDim type="cat">
        <cx:f>_xlchart.v1.0</cx:f>
      </cx:strDim>
      <cx:numDim type="val">
        <cx:f>_xlchart.v1.8</cx:f>
      </cx:numDim>
    </cx:data>
  </cx:chartData>
  <cx:chart>
    <cx:plotArea>
      <cx:plotAreaRegion>
        <cx:series layoutId="clusteredColumn" uniqueId="{507D409E-7B1C-4705-9548-8EFD867D4870}" formatIdx="0">
          <cx:dataId val="0"/>
          <cx:layoutPr>
            <cx:aggregation/>
          </cx:layoutPr>
          <cx:axisId val="1"/>
        </cx:series>
        <cx:series layoutId="clusteredColumn" hidden="1" uniqueId="{073ED666-4A15-4C8B-B0EC-2A7AFF90D3B8}" formatIdx="2">
          <cx:dataId val="1"/>
          <cx:layoutPr>
            <cx:aggregation/>
          </cx:layoutPr>
          <cx:axisId val="1"/>
        </cx:series>
        <cx:series layoutId="clusteredColumn" hidden="1" uniqueId="{039B6FC8-25A2-48F3-973C-CD3461534EF2}" formatIdx="4">
          <cx:dataId val="2"/>
          <cx:layoutPr>
            <cx:aggregation/>
          </cx:layoutPr>
          <cx:axisId val="1"/>
        </cx:series>
        <cx:series layoutId="clusteredColumn" hidden="1" uniqueId="{88975BF4-324A-419B-8A3B-E81AB483B8EA}" formatIdx="6">
          <cx:dataId val="3"/>
          <cx:layoutPr>
            <cx:aggregation/>
          </cx:layoutPr>
          <cx:axisId val="1"/>
        </cx:series>
        <cx:series layoutId="clusteredColumn" hidden="1" uniqueId="{3902BCD4-B87E-45AF-B5DE-FF19E53A6CF6}" formatIdx="8">
          <cx:dataId val="4"/>
          <cx:layoutPr>
            <cx:aggregation/>
          </cx:layoutPr>
          <cx:axisId val="1"/>
        </cx:series>
        <cx:series layoutId="clusteredColumn" hidden="1" uniqueId="{86B5D103-2073-4AE1-ACF3-3D636DD4F702}" formatIdx="10">
          <cx:dataId val="5"/>
          <cx:layoutPr>
            <cx:aggregation/>
          </cx:layoutPr>
          <cx:axisId val="1"/>
        </cx:series>
        <cx:series layoutId="clusteredColumn" hidden="1" uniqueId="{E65DE9BE-6745-4978-9869-BC600E29378B}" formatIdx="12">
          <cx:dataId val="6"/>
          <cx:layoutPr>
            <cx:aggregation/>
          </cx:layoutPr>
          <cx:axisId val="1"/>
        </cx:series>
        <cx:series layoutId="clusteredColumn" hidden="1" uniqueId="{9FE43E6D-5C39-4E8A-9076-19DAB7844D5D}" formatIdx="14">
          <cx:dataId val="7"/>
          <cx:layoutPr>
            <cx:aggregation/>
          </cx:layoutPr>
          <cx:axisId val="1"/>
        </cx:series>
        <cx:series layoutId="paretoLine" ownerIdx="0" uniqueId="{50BBA174-6E36-41F8-8B5A-794CF8B75908}" formatIdx="1">
          <cx:axisId val="2"/>
        </cx:series>
        <cx:series layoutId="paretoLine" ownerIdx="1" uniqueId="{84366A10-7202-4CB6-B5B2-62590F158167}" formatIdx="3">
          <cx:axisId val="2"/>
        </cx:series>
        <cx:series layoutId="paretoLine" ownerIdx="2" uniqueId="{4438F03A-1ACA-4A5C-8EE9-33F8958BE6FF}" formatIdx="5">
          <cx:axisId val="2"/>
        </cx:series>
        <cx:series layoutId="paretoLine" ownerIdx="3" uniqueId="{7D009D59-9D40-4FAB-8914-595535AC705B}" formatIdx="7">
          <cx:axisId val="2"/>
        </cx:series>
        <cx:series layoutId="paretoLine" ownerIdx="4" uniqueId="{ABDDE802-725E-4988-9104-04AF8892B70E}" formatIdx="9">
          <cx:axisId val="2"/>
        </cx:series>
        <cx:series layoutId="paretoLine" ownerIdx="5" uniqueId="{6AE9CB40-5D95-49A4-BE74-6BA92C323F4B}" formatIdx="11">
          <cx:axisId val="2"/>
        </cx:series>
        <cx:series layoutId="paretoLine" ownerIdx="6" uniqueId="{E781AF99-1FF7-4C8E-85BA-859AC62049C3}" formatIdx="13">
          <cx:axisId val="2"/>
        </cx:series>
        <cx:series layoutId="paretoLine" ownerIdx="7" uniqueId="{8BD1AB3E-4A5E-4D26-B57F-D4B01C62489A}" formatIdx="15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15000"/>
            <a:lumOff val="8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392906</xdr:colOff>
      <xdr:row>9</xdr:row>
      <xdr:rowOff>0</xdr:rowOff>
    </xdr:from>
    <xdr:to>
      <xdr:col>22</xdr:col>
      <xdr:colOff>233024</xdr:colOff>
      <xdr:row>28</xdr:row>
      <xdr:rowOff>0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23</xdr:col>
      <xdr:colOff>357115</xdr:colOff>
      <xdr:row>16</xdr:row>
      <xdr:rowOff>175645</xdr:rowOff>
    </xdr:from>
    <xdr:to>
      <xdr:col>26</xdr:col>
      <xdr:colOff>395872</xdr:colOff>
      <xdr:row>22</xdr:row>
      <xdr:rowOff>888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ESSO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SS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18316" y="3735614"/>
              <a:ext cx="1860414" cy="9682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absolute">
    <xdr:from>
      <xdr:col>23</xdr:col>
      <xdr:colOff>359268</xdr:colOff>
      <xdr:row>22</xdr:row>
      <xdr:rowOff>175645</xdr:rowOff>
    </xdr:from>
    <xdr:to>
      <xdr:col>26</xdr:col>
      <xdr:colOff>395821</xdr:colOff>
      <xdr:row>37</xdr:row>
      <xdr:rowOff>1814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LIVELLO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IVELL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20469" y="4878614"/>
              <a:ext cx="1858210" cy="2681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absolute">
    <xdr:from>
      <xdr:col>23</xdr:col>
      <xdr:colOff>375394</xdr:colOff>
      <xdr:row>37</xdr:row>
      <xdr:rowOff>161357</xdr:rowOff>
    </xdr:from>
    <xdr:to>
      <xdr:col>26</xdr:col>
      <xdr:colOff>395969</xdr:colOff>
      <xdr:row>51</xdr:row>
      <xdr:rowOff>175645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QUALIFICA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LIFIC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36595" y="7721826"/>
              <a:ext cx="1842232" cy="268128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absolute">
    <xdr:from>
      <xdr:col>3</xdr:col>
      <xdr:colOff>393964</xdr:colOff>
      <xdr:row>29</xdr:row>
      <xdr:rowOff>0</xdr:rowOff>
    </xdr:from>
    <xdr:to>
      <xdr:col>12</xdr:col>
      <xdr:colOff>40821</xdr:colOff>
      <xdr:row>45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23</xdr:col>
      <xdr:colOff>355487</xdr:colOff>
      <xdr:row>1</xdr:row>
      <xdr:rowOff>199458</xdr:rowOff>
    </xdr:from>
    <xdr:to>
      <xdr:col>26</xdr:col>
      <xdr:colOff>355487</xdr:colOff>
      <xdr:row>16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REPARTO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PAR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216688" y="770958"/>
              <a:ext cx="1821657" cy="278901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Questa forma rappresenta un filtro dei dati. I filtri dei dati sono supportati in Excel 2010 o versione successiva.
Se la forma è stata modificata in una versione precedente di Excel o se la cartella di lavoro è stata salvata in Excel 2003 o versioni precedenti, non è possibile usare il filtro dei dati.</a:t>
              </a:r>
            </a:p>
          </xdr:txBody>
        </xdr:sp>
      </mc:Fallback>
    </mc:AlternateContent>
    <xdr:clientData/>
  </xdr:twoCellAnchor>
  <xdr:twoCellAnchor editAs="absolute">
    <xdr:from>
      <xdr:col>15</xdr:col>
      <xdr:colOff>503465</xdr:colOff>
      <xdr:row>29</xdr:row>
      <xdr:rowOff>0</xdr:rowOff>
    </xdr:from>
    <xdr:to>
      <xdr:col>22</xdr:col>
      <xdr:colOff>231322</xdr:colOff>
      <xdr:row>45</xdr:row>
      <xdr:rowOff>0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8</xdr:col>
      <xdr:colOff>571500</xdr:colOff>
      <xdr:row>47</xdr:row>
      <xdr:rowOff>0</xdr:rowOff>
    </xdr:from>
    <xdr:to>
      <xdr:col>22</xdr:col>
      <xdr:colOff>212613</xdr:colOff>
      <xdr:row>78</xdr:row>
      <xdr:rowOff>0</xdr:rowOff>
    </xdr:to>
    <xdr:graphicFrame macro="">
      <xdr:nvGraphicFramePr>
        <xdr:cNvPr id="9" name="Grafico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0</xdr:colOff>
      <xdr:row>6</xdr:row>
      <xdr:rowOff>0</xdr:rowOff>
    </xdr:from>
    <xdr:to>
      <xdr:col>28</xdr:col>
      <xdr:colOff>0</xdr:colOff>
      <xdr:row>27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ico 2">
              <a:extLst>
                <a:ext uri="{FF2B5EF4-FFF2-40B4-BE49-F238E27FC236}">
                  <a16:creationId xmlns:a16="http://schemas.microsoft.com/office/drawing/2014/main" id="{00000000-0008-0000-06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30425" y="1143000"/>
              <a:ext cx="10448925" cy="4371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9</xdr:col>
      <xdr:colOff>0</xdr:colOff>
      <xdr:row>5</xdr:row>
      <xdr:rowOff>201082</xdr:rowOff>
    </xdr:from>
    <xdr:to>
      <xdr:col>22</xdr:col>
      <xdr:colOff>0</xdr:colOff>
      <xdr:row>26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8E771B70-5F2D-6F93-6DB0-3FBB2D041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ente" refreshedDate="45779.85669537037" createdVersion="8" refreshedVersion="8" minRefreshableVersion="3" recordCount="100" xr:uid="{00000000-000A-0000-FFFF-FFFF41000000}">
  <cacheSource type="worksheet">
    <worksheetSource name="Dipendenti"/>
  </cacheSource>
  <cacheFields count="16">
    <cacheField name="DIPENDENTE" numFmtId="0">
      <sharedItems/>
    </cacheField>
    <cacheField name="CODICE FISCALE" numFmtId="0">
      <sharedItems/>
    </cacheField>
    <cacheField name="DATA_NASCITA" numFmtId="0">
      <sharedItems/>
    </cacheField>
    <cacheField name="ETA'" numFmtId="167">
      <sharedItems containsSemiMixedTypes="0" containsString="0" containsNumber="1" containsInteger="1" minValue="22" maxValue="63" count="40">
        <n v="29"/>
        <n v="28"/>
        <n v="32"/>
        <n v="34"/>
        <n v="27"/>
        <n v="55"/>
        <n v="54"/>
        <n v="41"/>
        <n v="39"/>
        <n v="43"/>
        <n v="53"/>
        <n v="24"/>
        <n v="22"/>
        <n v="38"/>
        <n v="45"/>
        <n v="47"/>
        <n v="26"/>
        <n v="37"/>
        <n v="51"/>
        <n v="23"/>
        <n v="48"/>
        <n v="36"/>
        <n v="50"/>
        <n v="33"/>
        <n v="30"/>
        <n v="56"/>
        <n v="58"/>
        <n v="40"/>
        <n v="59"/>
        <n v="44"/>
        <n v="49"/>
        <n v="57"/>
        <n v="60"/>
        <n v="25"/>
        <n v="46"/>
        <n v="42"/>
        <n v="35"/>
        <n v="62"/>
        <n v="63"/>
        <n v="31"/>
      </sharedItems>
      <fieldGroup base="3">
        <rangePr autoStart="0" startNum="20" endNum="63" groupInterval="5"/>
        <groupItems count="11">
          <s v="&lt;20"/>
          <s v="20-24"/>
          <s v="25-29"/>
          <s v="30-34"/>
          <s v="35-39"/>
          <s v="40-44"/>
          <s v="45-49"/>
          <s v="50-54"/>
          <s v="55-59"/>
          <s v="60-64"/>
          <s v="&gt;65"/>
        </groupItems>
      </fieldGroup>
    </cacheField>
    <cacheField name="SESSO" numFmtId="0">
      <sharedItems containsBlank="1" count="3">
        <s v="FEMMINA"/>
        <s v="MASCHIO"/>
        <m u="1"/>
      </sharedItems>
    </cacheField>
    <cacheField name="QUALIFICA" numFmtId="0">
      <sharedItems containsBlank="1" count="39">
        <s v="HR Specialist"/>
        <s v="Responsabile IT"/>
        <s v="Business Analyst"/>
        <s v="Sviluppatore"/>
        <s v="Contabile"/>
        <s v="Project Manager"/>
        <s v="Addetto Vendite"/>
        <s v="Customer Support"/>
        <s v="Marketing Manager"/>
        <s v="Analista Dati"/>
        <s v="tecnico laborat." u="1"/>
        <s v="psicologo" u="1"/>
        <s v="Staff" u="1"/>
        <s v="infermiere" u="1"/>
        <s v="ass. sociale" u="1"/>
        <s v="medico" u="1"/>
        <s v="amministrativo" u="1"/>
        <s v="tecnico riabilitazione" u="1"/>
        <s v="tecnico rx" u="1"/>
        <s v="biologo" u="1"/>
        <s v="ausiliario ss" u="1"/>
        <s v="oss" u="1"/>
        <s v="Fisico" u="1"/>
        <s v="farmacista" u="1"/>
        <s v="data manager" u="1"/>
        <s v="Podologo" u="1"/>
        <s v="manutentore" u="1"/>
        <s v="pony" u="1"/>
        <s v="altro" u="1"/>
        <s v="tecnico neurofisiopatologia" u="1"/>
        <s v="DG" u="1"/>
        <s v="tecnico ortottico" u="1"/>
        <m u="1"/>
        <s v="medico " u="1"/>
        <s v="tecnico ortottico " u="1"/>
        <s v="data manager " u="1"/>
        <s v="Farmacista " u="1"/>
        <s v="infermiere " u="1"/>
        <s v="amministrativo " u="1"/>
      </sharedItems>
    </cacheField>
    <cacheField name="REPARTO" numFmtId="0">
      <sharedItems containsBlank="1" count="102">
        <s v="Amministrazione"/>
        <s v="Marketing"/>
        <s v="HR"/>
        <s v="Finance"/>
        <s v="Logistica"/>
        <s v="PMO"/>
        <s v="R&amp;D"/>
        <s v="IT"/>
        <s v="Supporto"/>
        <s v="Vendite"/>
        <s v="APA" u="1"/>
        <s v="PSICO" u="1"/>
        <s v="N1" u="1"/>
        <s v="TIPO" u="1"/>
        <s v="ONCO" u="1"/>
        <s v="ACC_SR" u="1"/>
        <s v="N3" u="1"/>
        <s v="ACC_SSN" u="1"/>
        <s v="ASSENTI" u="1"/>
        <s v="GASTRO" u="1"/>
        <s v="RIAB" u="1"/>
        <s v="RADIO_PSNM" u="1"/>
        <s v="LAB" u="1"/>
        <s v="ANESTESIA" u="1"/>
        <s v="DHO" u="1"/>
        <s v="MAGA" u="1"/>
        <s v="AMB" u="1"/>
        <s v="STER" u="1"/>
        <s v="MED_NUC" u="1"/>
        <s v="ENDO" u="1"/>
        <s v="BREAST" u="1"/>
        <s v="B.O." u="1"/>
        <s v="CHIR_TORA_INF" u="1"/>
        <s v="CHIR_SENO" u="1"/>
        <s v="CDC" u="1"/>
        <m u="1"/>
        <s v="RADIOT_PSNM" u="1"/>
        <s v="ACC_RAD" u="1"/>
        <s v="ACC_LP" u="1"/>
        <s v="Servizio Clienti" u="1"/>
        <s v="N2" u="1"/>
        <s v="AMM" u="1"/>
        <s v="DS_INF" u="1"/>
        <s v="NEURO" u="1"/>
        <s v="FISICA" u="1"/>
        <s v="MAL_INFETTIVE" u="1"/>
        <s v="RADIO" u="1"/>
        <s v="CHIR_NEURO" u="1"/>
        <s v="FARMA" u="1"/>
        <s v="PUNTO_PREL" u="1"/>
        <s v="G.O." u="1"/>
        <s v="MED_NUC_PSNM" u="1"/>
        <s v="DATA" u="1"/>
        <s v="RADIO_PM" u="1"/>
        <s v="SER_GEN" u="1"/>
        <s v="CARDIO" u="1"/>
        <s v="SEGR" u="1"/>
        <s v="ACC_DH" u="1"/>
        <s v="GINECO" u="1"/>
        <s v="CART_CLI" u="1"/>
        <s v="CUP" u="1"/>
        <s v="NEFRO" u="1"/>
        <s v="INFO" u="1"/>
        <s v="ORTO" u="1"/>
        <s v="ANTALGICA" u="1"/>
        <s v="NUTRI" u="1"/>
        <s v="RADIOT_PM" u="1"/>
        <s v="URO" u="1"/>
        <s v="CHIR_TORA" u="1"/>
        <s v="ING_CLI" u="1"/>
        <s v="BIO_MOL" u="1"/>
        <s v="OCULISTA" u="1"/>
        <s v="DS" u="1"/>
        <s v="UFF_TECN" u="1"/>
        <s v="COMUNICAZIONE" u="1"/>
        <s v="MED_GEN" u="1"/>
        <s v="DERMA" u="1"/>
        <s v="GENETICA" u="1"/>
        <s v="EMATO" u="1"/>
        <s v="CHIR_PLA" u="1"/>
        <s v="PONY" u="1"/>
        <s v="ANGIO" u="1"/>
        <s v="CHIR_ADD" u="1"/>
        <s v="RADIOT_AUS" u="1"/>
        <s v="MED_NUC_INF" u="1"/>
        <s v="UFF_ACQ" u="1"/>
        <s v="ODONTO_ONCO" u="1"/>
        <s v="SORV_SAN" u="1"/>
        <s v="GINECO_INF" u="1"/>
        <s v="PNEUMO" u="1"/>
        <s v="CENTR" u="1"/>
        <s v="CHIR_VASCO" u="1"/>
        <s v="ENDO_PM" u="1"/>
        <s v="COMMERCIALE" u="1"/>
        <s v="SAS" u="1"/>
        <s v="HUNIMED" u="1"/>
        <s v="CHIR_MAX/FAC" u="1"/>
        <s v="OTOR" u="1"/>
        <s v="CHIR_MANO" u="1"/>
        <s v="PSI" u="1"/>
        <s v="GEN" u="1"/>
        <s v="RADIOL_PSNM" u="1"/>
      </sharedItems>
    </cacheField>
    <cacheField name="DATA_ASSUNZIONE" numFmtId="14">
      <sharedItems containsSemiMixedTypes="0" containsNonDate="0" containsDate="1" containsString="0" minDate="1979-06-01T00:00:00" maxDate="2025-03-01T00:00:00"/>
    </cacheField>
    <cacheField name="DATA_SCADENZA" numFmtId="0">
      <sharedItems containsNonDate="0" containsString="0" containsBlank="1"/>
    </cacheField>
    <cacheField name="DATA_CESSAZIONE" numFmtId="14">
      <sharedItems containsNonDate="0" containsString="0" containsBlank="1"/>
    </cacheField>
    <cacheField name="ANZIANITA'_AZIEN" numFmtId="1">
      <sharedItems containsSemiMixedTypes="0" containsString="0" containsNumber="1" containsInteger="1" minValue="0" maxValue="45"/>
    </cacheField>
    <cacheField name="TIPO_CONTRATTO" numFmtId="0">
      <sharedItems containsBlank="1" count="7">
        <s v="tempo pieno"/>
        <s v="part-time"/>
        <s v="dip tp" u="1"/>
        <s v="lib prof" u="1"/>
        <s v="dip. part-time" u="1"/>
        <s v="borsista" u="1"/>
        <m u="1"/>
      </sharedItems>
    </cacheField>
    <cacheField name="LIVELLO" numFmtId="0">
      <sharedItems containsBlank="1" count="33">
        <s v="A1"/>
        <s v="B2"/>
        <s v="C3"/>
        <s v="D4"/>
        <s v="D" u="1"/>
        <s v="LIBERA PROFESSIONE" u="1"/>
        <s v="E" u="1"/>
        <s v="D2" u="1"/>
        <s v="C1" u="1"/>
        <s v="B" u="1"/>
        <s v="Respons.-ar.med." u="1"/>
        <s v="C" u="1"/>
        <s v="A2" u="1"/>
        <s v="A" u="1"/>
        <s v="Aiuto " u="1"/>
        <s v="DS" u="1"/>
        <s v="B3" u="1"/>
        <s v="Dir.sanitario-a.med." u="1"/>
        <s v="C4" u="1"/>
        <s v="DS4" u="1"/>
        <s v="Assistente Fascia B" u="1"/>
        <s v="B4" u="1"/>
        <s v="D1" u="1"/>
        <s v="B1" u="1"/>
        <s v="C2" u="1"/>
        <s v="Liv. non definito" u="1"/>
        <s v="D3" u="1"/>
        <s v="Respons.-ar.chir." u="1"/>
        <s v="Dir.sanitario-a.chir" u="1"/>
        <s v="DISTACCATO" u="1"/>
        <s v="E1" u="1"/>
        <m u="1"/>
        <e v="#N/A" u="1"/>
      </sharedItems>
    </cacheField>
    <cacheField name="FAMIGLIA_PROF" numFmtId="0">
      <sharedItems/>
    </cacheField>
    <cacheField name="ORE CONTRATTO" numFmtId="0">
      <sharedItems containsSemiMixedTypes="0" containsString="0" containsNumber="1" containsInteger="1" minValue="24" maxValue="40"/>
    </cacheField>
    <cacheField name="FTE" numFmtId="9">
      <sharedItems containsSemiMixedTypes="0" containsString="0" containsNumber="1" minValue="0.6" maxValue="1"/>
    </cacheField>
  </cacheFields>
  <extLst>
    <ext xmlns:x14="http://schemas.microsoft.com/office/spreadsheetml/2009/9/main" uri="{725AE2AE-9491-48be-B2B4-4EB974FC3084}">
      <x14:pivotCacheDefinition pivotCacheId="83709593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Elena Gallo"/>
    <s v="GALELE95B21C351X"/>
    <s v="21-09-1995"/>
    <x v="0"/>
    <x v="0"/>
    <x v="0"/>
    <x v="0"/>
    <d v="2023-06-13T00:00:00"/>
    <m/>
    <m/>
    <n v="1"/>
    <x v="0"/>
    <x v="0"/>
    <s v="Tecnico"/>
    <n v="40"/>
    <n v="1"/>
  </r>
  <r>
    <s v="Elena Bruno"/>
    <s v="BRUELE96B21C351X"/>
    <s v="21-06-1996"/>
    <x v="1"/>
    <x v="0"/>
    <x v="1"/>
    <x v="1"/>
    <d v="2024-01-29T00:00:00"/>
    <m/>
    <m/>
    <n v="1"/>
    <x v="0"/>
    <x v="1"/>
    <s v="Staff"/>
    <n v="40"/>
    <n v="1"/>
  </r>
  <r>
    <s v="Simone Costa"/>
    <s v="COSSIM93A23C351X"/>
    <s v="23-04-1993"/>
    <x v="2"/>
    <x v="1"/>
    <x v="2"/>
    <x v="2"/>
    <d v="2024-12-09T00:00:00"/>
    <m/>
    <m/>
    <n v="0"/>
    <x v="0"/>
    <x v="2"/>
    <s v="Manager"/>
    <n v="40"/>
    <n v="1"/>
  </r>
  <r>
    <s v="Martina Bruno"/>
    <s v="BRUMAR90B20C351X"/>
    <s v="20-10-1990"/>
    <x v="3"/>
    <x v="0"/>
    <x v="3"/>
    <x v="3"/>
    <d v="2017-10-11T00:00:00"/>
    <m/>
    <m/>
    <n v="7"/>
    <x v="1"/>
    <x v="0"/>
    <s v="Tecnico"/>
    <n v="24"/>
    <n v="0.6"/>
  </r>
  <r>
    <s v="Valentina Ricci"/>
    <s v="RICVAL97B05C351X"/>
    <s v="05-06-1997"/>
    <x v="4"/>
    <x v="0"/>
    <x v="1"/>
    <x v="4"/>
    <d v="2023-07-20T00:00:00"/>
    <m/>
    <m/>
    <n v="1"/>
    <x v="1"/>
    <x v="1"/>
    <s v="Tecnico"/>
    <n v="24"/>
    <n v="0.6"/>
  </r>
  <r>
    <s v="Francesco Gallo"/>
    <s v="GALFRA69A07C351X"/>
    <s v="07-10-1969"/>
    <x v="5"/>
    <x v="1"/>
    <x v="2"/>
    <x v="3"/>
    <d v="2004-02-25T00:00:00"/>
    <m/>
    <m/>
    <n v="21"/>
    <x v="1"/>
    <x v="3"/>
    <s v="Tecnico"/>
    <n v="24"/>
    <n v="0.6"/>
  </r>
  <r>
    <s v="Valentina Gallo"/>
    <s v="GALVAL70B15C351X"/>
    <s v="15-10-1970"/>
    <x v="6"/>
    <x v="0"/>
    <x v="4"/>
    <x v="1"/>
    <d v="2008-12-22T00:00:00"/>
    <m/>
    <m/>
    <n v="16"/>
    <x v="0"/>
    <x v="2"/>
    <s v="Tecnico"/>
    <n v="40"/>
    <n v="1"/>
  </r>
  <r>
    <s v="Matteo Costa"/>
    <s v="COSMAT83A05C351X"/>
    <s v="05-09-1983"/>
    <x v="7"/>
    <x v="1"/>
    <x v="2"/>
    <x v="5"/>
    <d v="2003-01-13T00:00:00"/>
    <m/>
    <m/>
    <n v="22"/>
    <x v="1"/>
    <x v="2"/>
    <s v="Staff"/>
    <n v="24"/>
    <n v="0.6"/>
  </r>
  <r>
    <s v="Sara Conti"/>
    <s v="CONSAR85B06C351X"/>
    <s v="06-08-1985"/>
    <x v="8"/>
    <x v="0"/>
    <x v="0"/>
    <x v="6"/>
    <d v="2018-01-10T00:00:00"/>
    <m/>
    <m/>
    <n v="7"/>
    <x v="0"/>
    <x v="2"/>
    <s v="Tecnico"/>
    <n v="40"/>
    <n v="1"/>
  </r>
  <r>
    <s v="Giulia Bianchi"/>
    <s v="BIAGIU81B28C351X"/>
    <s v="28-05-1981"/>
    <x v="9"/>
    <x v="0"/>
    <x v="5"/>
    <x v="7"/>
    <d v="2009-10-01T00:00:00"/>
    <m/>
    <m/>
    <n v="15"/>
    <x v="0"/>
    <x v="0"/>
    <s v="Staff"/>
    <n v="40"/>
    <n v="1"/>
  </r>
  <r>
    <s v="Simone Colombo"/>
    <s v="COLSIM97A23C351X"/>
    <s v="23-12-1997"/>
    <x v="4"/>
    <x v="1"/>
    <x v="5"/>
    <x v="1"/>
    <d v="2024-11-04T00:00:00"/>
    <m/>
    <m/>
    <n v="0"/>
    <x v="1"/>
    <x v="3"/>
    <s v="Tecnico"/>
    <n v="24"/>
    <n v="0.6"/>
  </r>
  <r>
    <s v="Giorgia Rossi"/>
    <s v="ROSGIO72B11C351X"/>
    <s v="11-02-1972"/>
    <x v="10"/>
    <x v="0"/>
    <x v="6"/>
    <x v="1"/>
    <d v="2023-02-01T00:00:00"/>
    <m/>
    <m/>
    <n v="2"/>
    <x v="1"/>
    <x v="1"/>
    <s v="Tecnico"/>
    <n v="30"/>
    <n v="0.75"/>
  </r>
  <r>
    <s v="Andrea Greco"/>
    <s v="GREAND00B25C351X"/>
    <s v="25-06-2000"/>
    <x v="11"/>
    <x v="0"/>
    <x v="7"/>
    <x v="3"/>
    <d v="2025-02-21T00:00:00"/>
    <m/>
    <m/>
    <n v="0"/>
    <x v="1"/>
    <x v="3"/>
    <s v="Manager"/>
    <n v="30"/>
    <n v="0.75"/>
  </r>
  <r>
    <s v="Chiara Romano"/>
    <s v="ROMCHI03B03C351X"/>
    <s v="03-04-2003"/>
    <x v="12"/>
    <x v="0"/>
    <x v="7"/>
    <x v="0"/>
    <d v="2003-02-19T00:00:00"/>
    <m/>
    <m/>
    <n v="22"/>
    <x v="1"/>
    <x v="2"/>
    <s v="Staff"/>
    <n v="30"/>
    <n v="0.75"/>
  </r>
  <r>
    <s v="Marco Gallo"/>
    <s v="GALMAR86A16C351X"/>
    <s v="16-11-1986"/>
    <x v="13"/>
    <x v="1"/>
    <x v="4"/>
    <x v="2"/>
    <d v="2022-06-17T00:00:00"/>
    <m/>
    <m/>
    <n v="2"/>
    <x v="0"/>
    <x v="1"/>
    <s v="Staff"/>
    <n v="40"/>
    <n v="1"/>
  </r>
  <r>
    <s v="Simone Ricci"/>
    <s v="RICSIM79A24C351X"/>
    <s v="24-09-1979"/>
    <x v="14"/>
    <x v="1"/>
    <x v="2"/>
    <x v="3"/>
    <d v="2018-06-01T00:00:00"/>
    <m/>
    <m/>
    <n v="6"/>
    <x v="1"/>
    <x v="0"/>
    <s v="Staff"/>
    <n v="24"/>
    <n v="0.6"/>
  </r>
  <r>
    <s v="Alessandro Esposito"/>
    <s v="ESPALE77A22C351X"/>
    <s v="22-12-1977"/>
    <x v="15"/>
    <x v="1"/>
    <x v="0"/>
    <x v="0"/>
    <d v="2010-02-01T00:00:00"/>
    <m/>
    <m/>
    <n v="15"/>
    <x v="0"/>
    <x v="1"/>
    <s v="Tecnico"/>
    <n v="40"/>
    <n v="1"/>
  </r>
  <r>
    <s v="Luca Rossi"/>
    <s v="ROSLUC98B06C351X"/>
    <s v="06-05-1998"/>
    <x v="16"/>
    <x v="0"/>
    <x v="0"/>
    <x v="6"/>
    <d v="2023-12-04T00:00:00"/>
    <m/>
    <m/>
    <n v="1"/>
    <x v="0"/>
    <x v="0"/>
    <s v="Manager"/>
    <n v="40"/>
    <n v="1"/>
  </r>
  <r>
    <s v="Alessandro Ricci"/>
    <s v="RICALE87A05C351X"/>
    <s v="05-12-1987"/>
    <x v="17"/>
    <x v="1"/>
    <x v="7"/>
    <x v="4"/>
    <d v="2024-04-01T00:00:00"/>
    <m/>
    <m/>
    <n v="1"/>
    <x v="0"/>
    <x v="0"/>
    <s v="Tecnico"/>
    <n v="40"/>
    <n v="1"/>
  </r>
  <r>
    <s v="Valentina Ricci"/>
    <s v="RICVAL95B29C351X"/>
    <s v="29-07-1995"/>
    <x v="0"/>
    <x v="0"/>
    <x v="3"/>
    <x v="8"/>
    <d v="2024-02-01T00:00:00"/>
    <m/>
    <m/>
    <n v="1"/>
    <x v="1"/>
    <x v="0"/>
    <s v="Manager"/>
    <n v="24"/>
    <n v="0.6"/>
  </r>
  <r>
    <s v="Andrea Bruno"/>
    <s v="BRUAND73B01C351X"/>
    <s v="01-12-1973"/>
    <x v="18"/>
    <x v="0"/>
    <x v="0"/>
    <x v="9"/>
    <d v="2021-07-01T00:00:00"/>
    <m/>
    <m/>
    <n v="3"/>
    <x v="1"/>
    <x v="0"/>
    <s v="Staff"/>
    <n v="24"/>
    <n v="0.6"/>
  </r>
  <r>
    <s v="Marco Marino"/>
    <s v="MARMAR01A31C351X"/>
    <s v="31-10-2001"/>
    <x v="19"/>
    <x v="1"/>
    <x v="2"/>
    <x v="5"/>
    <d v="2024-09-20T00:00:00"/>
    <m/>
    <m/>
    <n v="0"/>
    <x v="0"/>
    <x v="3"/>
    <s v="Tecnico"/>
    <n v="40"/>
    <n v="1"/>
  </r>
  <r>
    <s v="Federica Ricci"/>
    <s v="RICFED80B20C351X"/>
    <s v="20-01-1980"/>
    <x v="14"/>
    <x v="0"/>
    <x v="2"/>
    <x v="8"/>
    <d v="2002-11-19T00:00:00"/>
    <m/>
    <m/>
    <n v="22"/>
    <x v="1"/>
    <x v="0"/>
    <s v="Manager"/>
    <n v="30"/>
    <n v="0.75"/>
  </r>
  <r>
    <s v="Simone Russo"/>
    <s v="RUSSIM96A11C351X"/>
    <s v="11-04-1996"/>
    <x v="0"/>
    <x v="1"/>
    <x v="8"/>
    <x v="0"/>
    <d v="2020-09-16T00:00:00"/>
    <m/>
    <m/>
    <n v="4"/>
    <x v="0"/>
    <x v="1"/>
    <s v="Staff"/>
    <n v="40"/>
    <n v="1"/>
  </r>
  <r>
    <s v="Francesco Marino"/>
    <s v="MARFRA76A11C351X"/>
    <s v="11-10-1976"/>
    <x v="20"/>
    <x v="1"/>
    <x v="0"/>
    <x v="7"/>
    <d v="2004-04-01T00:00:00"/>
    <m/>
    <m/>
    <n v="21"/>
    <x v="1"/>
    <x v="3"/>
    <s v="Manager"/>
    <n v="30"/>
    <n v="0.75"/>
  </r>
  <r>
    <s v="Elena Ricci"/>
    <s v="RICELE97B08C351X"/>
    <s v="08-06-1997"/>
    <x v="4"/>
    <x v="0"/>
    <x v="9"/>
    <x v="1"/>
    <d v="2024-01-08T00:00:00"/>
    <m/>
    <m/>
    <n v="1"/>
    <x v="1"/>
    <x v="2"/>
    <s v="Manager"/>
    <n v="24"/>
    <n v="0.6"/>
  </r>
  <r>
    <s v="Valentina Ricci"/>
    <s v="RICVAL85B19C351X"/>
    <s v="19-07-1985"/>
    <x v="8"/>
    <x v="0"/>
    <x v="8"/>
    <x v="0"/>
    <d v="2017-01-17T00:00:00"/>
    <m/>
    <m/>
    <n v="8"/>
    <x v="0"/>
    <x v="3"/>
    <s v="Staff"/>
    <n v="40"/>
    <n v="1"/>
  </r>
  <r>
    <s v="Chiara Esposito"/>
    <s v="ESPCHI71B07C351X"/>
    <s v="07-02-1971"/>
    <x v="6"/>
    <x v="0"/>
    <x v="6"/>
    <x v="9"/>
    <d v="2021-10-18T00:00:00"/>
    <m/>
    <m/>
    <n v="3"/>
    <x v="0"/>
    <x v="0"/>
    <s v="Staff"/>
    <n v="40"/>
    <n v="1"/>
  </r>
  <r>
    <s v="Giorgia Bianchi"/>
    <s v="BIAGIO76B15C351X"/>
    <s v="15-05-1976"/>
    <x v="20"/>
    <x v="0"/>
    <x v="7"/>
    <x v="2"/>
    <d v="2017-06-01T00:00:00"/>
    <m/>
    <m/>
    <n v="7"/>
    <x v="1"/>
    <x v="2"/>
    <s v="Manager"/>
    <n v="24"/>
    <n v="0.6"/>
  </r>
  <r>
    <s v="Martina Bianchi"/>
    <s v="BIAMAR70B31C351X"/>
    <s v="31-10-1970"/>
    <x v="6"/>
    <x v="0"/>
    <x v="7"/>
    <x v="2"/>
    <d v="2022-02-16T00:00:00"/>
    <m/>
    <m/>
    <n v="3"/>
    <x v="0"/>
    <x v="3"/>
    <s v="Manager"/>
    <n v="40"/>
    <n v="1"/>
  </r>
  <r>
    <s v="Giulia Greco"/>
    <s v="GREGIU71B20C351X"/>
    <s v="20-03-1971"/>
    <x v="6"/>
    <x v="0"/>
    <x v="9"/>
    <x v="2"/>
    <d v="2021-03-22T00:00:00"/>
    <m/>
    <m/>
    <n v="4"/>
    <x v="0"/>
    <x v="0"/>
    <s v="Manager"/>
    <n v="40"/>
    <n v="1"/>
  </r>
  <r>
    <s v="Valentina Bianchi"/>
    <s v="BIAVAL88B23C351X"/>
    <s v="23-06-1988"/>
    <x v="21"/>
    <x v="0"/>
    <x v="0"/>
    <x v="6"/>
    <d v="2023-09-14T00:00:00"/>
    <m/>
    <m/>
    <n v="1"/>
    <x v="1"/>
    <x v="2"/>
    <s v="Staff"/>
    <n v="30"/>
    <n v="0.75"/>
  </r>
  <r>
    <s v="Elena Colombo"/>
    <s v="COLELE95B27C351X"/>
    <s v="27-05-1995"/>
    <x v="0"/>
    <x v="0"/>
    <x v="3"/>
    <x v="6"/>
    <d v="2015-02-02T00:00:00"/>
    <m/>
    <m/>
    <n v="10"/>
    <x v="1"/>
    <x v="3"/>
    <s v="Tecnico"/>
    <n v="30"/>
    <n v="0.75"/>
  </r>
  <r>
    <s v="Giulia Bruno"/>
    <s v="BRUGIU74B23C351X"/>
    <s v="23-09-1974"/>
    <x v="22"/>
    <x v="0"/>
    <x v="0"/>
    <x v="4"/>
    <d v="2025-02-03T00:00:00"/>
    <m/>
    <m/>
    <n v="0"/>
    <x v="1"/>
    <x v="3"/>
    <s v="Tecnico"/>
    <n v="30"/>
    <n v="0.75"/>
  </r>
  <r>
    <s v="Andrea Colombo"/>
    <s v="COLAND97B04C351X"/>
    <s v="04-09-1997"/>
    <x v="4"/>
    <x v="0"/>
    <x v="7"/>
    <x v="2"/>
    <d v="2023-04-05T00:00:00"/>
    <m/>
    <m/>
    <n v="2"/>
    <x v="1"/>
    <x v="2"/>
    <s v="Tecnico"/>
    <n v="24"/>
    <n v="0.6"/>
  </r>
  <r>
    <s v="Marco Costa"/>
    <s v="COSMAR88A06C351X"/>
    <s v="06-07-1988"/>
    <x v="21"/>
    <x v="1"/>
    <x v="5"/>
    <x v="7"/>
    <d v="2020-11-02T00:00:00"/>
    <m/>
    <m/>
    <n v="4"/>
    <x v="1"/>
    <x v="3"/>
    <s v="Staff"/>
    <n v="24"/>
    <n v="0.6"/>
  </r>
  <r>
    <s v="Matteo Marino"/>
    <s v="MARMAT92A22C351X"/>
    <s v="22-04-1992"/>
    <x v="23"/>
    <x v="1"/>
    <x v="2"/>
    <x v="6"/>
    <d v="2023-07-01T00:00:00"/>
    <m/>
    <m/>
    <n v="1"/>
    <x v="1"/>
    <x v="0"/>
    <s v="Staff"/>
    <n v="24"/>
    <n v="0.6"/>
  </r>
  <r>
    <s v="Alessandro Marino"/>
    <s v="MARALE91A05C351X"/>
    <s v="05-05-1991"/>
    <x v="23"/>
    <x v="1"/>
    <x v="6"/>
    <x v="6"/>
    <d v="2025-02-28T00:00:00"/>
    <m/>
    <m/>
    <n v="0"/>
    <x v="1"/>
    <x v="0"/>
    <s v="Staff"/>
    <n v="24"/>
    <n v="0.6"/>
  </r>
  <r>
    <s v="Andrea Greco"/>
    <s v="GREAND92B22C351X"/>
    <s v="22-04-1992"/>
    <x v="23"/>
    <x v="0"/>
    <x v="0"/>
    <x v="0"/>
    <d v="2016-05-30T00:00:00"/>
    <m/>
    <m/>
    <n v="8"/>
    <x v="0"/>
    <x v="3"/>
    <s v="Staff"/>
    <n v="40"/>
    <n v="1"/>
  </r>
  <r>
    <s v="Matteo Conti"/>
    <s v="CONMAT94A18C351X"/>
    <s v="18-09-1994"/>
    <x v="24"/>
    <x v="1"/>
    <x v="7"/>
    <x v="2"/>
    <d v="2019-11-04T00:00:00"/>
    <m/>
    <m/>
    <n v="5"/>
    <x v="0"/>
    <x v="3"/>
    <s v="Manager"/>
    <n v="40"/>
    <n v="1"/>
  </r>
  <r>
    <s v="Alessandro Marino"/>
    <s v="MARALE70A01C351X"/>
    <s v="01-04-1970"/>
    <x v="5"/>
    <x v="1"/>
    <x v="1"/>
    <x v="6"/>
    <d v="2024-10-01T00:00:00"/>
    <m/>
    <m/>
    <n v="0"/>
    <x v="1"/>
    <x v="1"/>
    <s v="Tecnico"/>
    <n v="24"/>
    <n v="0.6"/>
  </r>
  <r>
    <s v="Chiara Ferrari"/>
    <s v="FERCHI86B15C351X"/>
    <s v="15-09-1986"/>
    <x v="13"/>
    <x v="0"/>
    <x v="8"/>
    <x v="5"/>
    <d v="2021-02-01T00:00:00"/>
    <m/>
    <m/>
    <n v="4"/>
    <x v="0"/>
    <x v="0"/>
    <s v="Tecnico"/>
    <n v="40"/>
    <n v="1"/>
  </r>
  <r>
    <s v="Giorgia Costa"/>
    <s v="COSGIO85B04C351X"/>
    <s v="04-08-1985"/>
    <x v="8"/>
    <x v="0"/>
    <x v="4"/>
    <x v="3"/>
    <d v="2024-12-09T00:00:00"/>
    <m/>
    <m/>
    <n v="0"/>
    <x v="1"/>
    <x v="0"/>
    <s v="Tecnico"/>
    <n v="24"/>
    <n v="0.6"/>
  </r>
  <r>
    <s v="Simone Bianchi"/>
    <s v="BIASIM68A10C351X"/>
    <s v="10-07-1968"/>
    <x v="25"/>
    <x v="1"/>
    <x v="0"/>
    <x v="6"/>
    <d v="2022-11-02T00:00:00"/>
    <m/>
    <m/>
    <n v="2"/>
    <x v="1"/>
    <x v="2"/>
    <s v="Tecnico"/>
    <n v="24"/>
    <n v="0.6"/>
  </r>
  <r>
    <s v="Chiara Costa"/>
    <s v="COSCHI80B16C351X"/>
    <s v="16-02-1980"/>
    <x v="14"/>
    <x v="0"/>
    <x v="7"/>
    <x v="4"/>
    <d v="2020-04-01T00:00:00"/>
    <m/>
    <m/>
    <n v="5"/>
    <x v="0"/>
    <x v="1"/>
    <s v="Manager"/>
    <n v="40"/>
    <n v="1"/>
  </r>
  <r>
    <s v="Martina Esposito"/>
    <s v="ESPMAR00B09C351X"/>
    <s v="09-08-2000"/>
    <x v="11"/>
    <x v="0"/>
    <x v="9"/>
    <x v="4"/>
    <d v="2020-04-01T00:00:00"/>
    <m/>
    <m/>
    <n v="5"/>
    <x v="1"/>
    <x v="3"/>
    <s v="Tecnico"/>
    <n v="24"/>
    <n v="0.6"/>
  </r>
  <r>
    <s v="Andrea Costa"/>
    <s v="COSAND92B04C351X"/>
    <s v="04-02-1992"/>
    <x v="23"/>
    <x v="0"/>
    <x v="7"/>
    <x v="7"/>
    <d v="2022-03-01T00:00:00"/>
    <m/>
    <m/>
    <n v="3"/>
    <x v="0"/>
    <x v="2"/>
    <s v="Staff"/>
    <n v="40"/>
    <n v="1"/>
  </r>
  <r>
    <s v="Valentina Conti"/>
    <s v="CONVAL92B20C351X"/>
    <s v="20-01-1992"/>
    <x v="23"/>
    <x v="0"/>
    <x v="3"/>
    <x v="3"/>
    <d v="2019-11-04T00:00:00"/>
    <m/>
    <m/>
    <n v="5"/>
    <x v="1"/>
    <x v="0"/>
    <s v="Manager"/>
    <n v="24"/>
    <n v="0.6"/>
  </r>
  <r>
    <s v="Francesco Colombo"/>
    <s v="COLFRA66A24C351X"/>
    <s v="24-09-1966"/>
    <x v="26"/>
    <x v="1"/>
    <x v="3"/>
    <x v="6"/>
    <d v="2021-04-07T00:00:00"/>
    <m/>
    <m/>
    <n v="4"/>
    <x v="1"/>
    <x v="2"/>
    <s v="Manager"/>
    <n v="30"/>
    <n v="0.75"/>
  </r>
  <r>
    <s v="Simone Colombo"/>
    <s v="COLSIM86A23C351X"/>
    <s v="23-03-1986"/>
    <x v="8"/>
    <x v="1"/>
    <x v="4"/>
    <x v="3"/>
    <d v="2020-04-20T00:00:00"/>
    <m/>
    <m/>
    <n v="5"/>
    <x v="1"/>
    <x v="2"/>
    <s v="Manager"/>
    <n v="30"/>
    <n v="0.75"/>
  </r>
  <r>
    <s v="Simone Mancini"/>
    <s v="MANSIM85A24C351X"/>
    <s v="24-01-1985"/>
    <x v="27"/>
    <x v="1"/>
    <x v="5"/>
    <x v="7"/>
    <d v="2024-10-07T00:00:00"/>
    <m/>
    <m/>
    <n v="0"/>
    <x v="0"/>
    <x v="1"/>
    <s v="Manager"/>
    <n v="40"/>
    <n v="1"/>
  </r>
  <r>
    <s v="Andrea Mancini"/>
    <s v="MANAND65B08C351X"/>
    <s v="08-08-1965"/>
    <x v="28"/>
    <x v="0"/>
    <x v="8"/>
    <x v="2"/>
    <d v="2009-04-20T00:00:00"/>
    <m/>
    <m/>
    <n v="16"/>
    <x v="1"/>
    <x v="0"/>
    <s v="Manager"/>
    <n v="24"/>
    <n v="0.6"/>
  </r>
  <r>
    <s v="Simone Conti"/>
    <s v="CONSIM72A10C351X"/>
    <s v="10-03-1972"/>
    <x v="10"/>
    <x v="1"/>
    <x v="7"/>
    <x v="9"/>
    <d v="2020-04-20T00:00:00"/>
    <m/>
    <m/>
    <n v="5"/>
    <x v="1"/>
    <x v="0"/>
    <s v="Staff"/>
    <n v="24"/>
    <n v="0.6"/>
  </r>
  <r>
    <s v="Giulia Costa"/>
    <s v="COSGIU87B30C351X"/>
    <s v="30-04-1987"/>
    <x v="13"/>
    <x v="0"/>
    <x v="6"/>
    <x v="4"/>
    <d v="2010-10-04T00:00:00"/>
    <m/>
    <m/>
    <n v="14"/>
    <x v="1"/>
    <x v="3"/>
    <s v="Staff"/>
    <n v="24"/>
    <n v="0.6"/>
  </r>
  <r>
    <s v="Matteo Marino"/>
    <s v="MARMAT80A10C351X"/>
    <s v="10-11-1980"/>
    <x v="29"/>
    <x v="1"/>
    <x v="2"/>
    <x v="9"/>
    <d v="2020-05-15T00:00:00"/>
    <m/>
    <m/>
    <n v="4"/>
    <x v="0"/>
    <x v="1"/>
    <s v="Staff"/>
    <n v="40"/>
    <n v="1"/>
  </r>
  <r>
    <s v="Elena Conti"/>
    <s v="CONELE91B21C351X"/>
    <s v="21-07-1991"/>
    <x v="23"/>
    <x v="0"/>
    <x v="2"/>
    <x v="1"/>
    <d v="2020-01-21T00:00:00"/>
    <m/>
    <m/>
    <n v="5"/>
    <x v="1"/>
    <x v="1"/>
    <s v="Staff"/>
    <n v="30"/>
    <n v="0.75"/>
  </r>
  <r>
    <s v="Sara Bruno"/>
    <s v="BRUSAR75B17C351X"/>
    <s v="17-03-1975"/>
    <x v="22"/>
    <x v="0"/>
    <x v="7"/>
    <x v="0"/>
    <d v="2024-01-10T00:00:00"/>
    <m/>
    <m/>
    <n v="1"/>
    <x v="0"/>
    <x v="3"/>
    <s v="Tecnico"/>
    <n v="40"/>
    <n v="1"/>
  </r>
  <r>
    <s v="Andrea Marino"/>
    <s v="MARAND87B26C351X"/>
    <s v="26-07-1987"/>
    <x v="17"/>
    <x v="0"/>
    <x v="3"/>
    <x v="6"/>
    <d v="2010-05-17T00:00:00"/>
    <m/>
    <m/>
    <n v="14"/>
    <x v="1"/>
    <x v="2"/>
    <s v="Manager"/>
    <n v="24"/>
    <n v="0.6"/>
  </r>
  <r>
    <s v="Martina Gallo"/>
    <s v="GALMAR75B08C351X"/>
    <s v="08-09-1975"/>
    <x v="30"/>
    <x v="0"/>
    <x v="7"/>
    <x v="0"/>
    <d v="2021-03-15T00:00:00"/>
    <m/>
    <m/>
    <n v="4"/>
    <x v="0"/>
    <x v="3"/>
    <s v="Tecnico"/>
    <n v="40"/>
    <n v="1"/>
  </r>
  <r>
    <s v="Marco Esposito"/>
    <s v="ESPMAR87A09C351X"/>
    <s v="09-05-1987"/>
    <x v="17"/>
    <x v="1"/>
    <x v="2"/>
    <x v="4"/>
    <d v="2023-07-04T00:00:00"/>
    <m/>
    <m/>
    <n v="1"/>
    <x v="1"/>
    <x v="2"/>
    <s v="Staff"/>
    <n v="24"/>
    <n v="0.6"/>
  </r>
  <r>
    <s v="Valentina Bruno"/>
    <s v="BRUVAL87B16C351X"/>
    <s v="16-10-1987"/>
    <x v="17"/>
    <x v="0"/>
    <x v="6"/>
    <x v="7"/>
    <d v="2008-04-01T00:00:00"/>
    <m/>
    <m/>
    <n v="17"/>
    <x v="0"/>
    <x v="3"/>
    <s v="Tecnico"/>
    <n v="40"/>
    <n v="1"/>
  </r>
  <r>
    <s v="Giorgia Costa"/>
    <s v="COSGIO87B20C351X"/>
    <s v="20-02-1987"/>
    <x v="13"/>
    <x v="0"/>
    <x v="2"/>
    <x v="4"/>
    <d v="2014-09-01T00:00:00"/>
    <m/>
    <m/>
    <n v="10"/>
    <x v="0"/>
    <x v="1"/>
    <s v="Manager"/>
    <n v="40"/>
    <n v="1"/>
  </r>
  <r>
    <s v="Alessandro Bruno"/>
    <s v="BRUALE68A07C351X"/>
    <s v="07-01-1968"/>
    <x v="31"/>
    <x v="1"/>
    <x v="3"/>
    <x v="7"/>
    <d v="2016-10-03T00:00:00"/>
    <m/>
    <m/>
    <n v="8"/>
    <x v="1"/>
    <x v="3"/>
    <s v="Staff"/>
    <n v="24"/>
    <n v="0.6"/>
  </r>
  <r>
    <s v="Elena Romano"/>
    <s v="ROMELE99B06C351X"/>
    <s v="06-01-1999"/>
    <x v="16"/>
    <x v="0"/>
    <x v="3"/>
    <x v="0"/>
    <d v="2020-04-22T00:00:00"/>
    <m/>
    <m/>
    <n v="5"/>
    <x v="1"/>
    <x v="3"/>
    <s v="Staff"/>
    <n v="24"/>
    <n v="0.6"/>
  </r>
  <r>
    <s v="Matteo Ferrari"/>
    <s v="FERMAT69A12C351X"/>
    <s v="12-11-1969"/>
    <x v="5"/>
    <x v="1"/>
    <x v="5"/>
    <x v="3"/>
    <d v="2020-07-01T00:00:00"/>
    <m/>
    <m/>
    <n v="4"/>
    <x v="1"/>
    <x v="1"/>
    <s v="Tecnico"/>
    <n v="24"/>
    <n v="0.6"/>
  </r>
  <r>
    <s v="Federica Conti"/>
    <s v="CONFED69B22C351X"/>
    <s v="22-07-1969"/>
    <x v="5"/>
    <x v="0"/>
    <x v="6"/>
    <x v="4"/>
    <d v="1979-06-01T00:00:00"/>
    <m/>
    <m/>
    <n v="45"/>
    <x v="0"/>
    <x v="3"/>
    <s v="Staff"/>
    <n v="40"/>
    <n v="1"/>
  </r>
  <r>
    <s v="Francesco Costa"/>
    <s v="COSFRA72A08C351X"/>
    <s v="08-02-1972"/>
    <x v="10"/>
    <x v="1"/>
    <x v="1"/>
    <x v="3"/>
    <d v="2020-06-16T00:00:00"/>
    <m/>
    <m/>
    <n v="4"/>
    <x v="1"/>
    <x v="0"/>
    <s v="Tecnico"/>
    <n v="30"/>
    <n v="0.75"/>
  </r>
  <r>
    <s v="Luca Bianchi"/>
    <s v="BIALUC88B06C351X"/>
    <s v="06-01-1988"/>
    <x v="17"/>
    <x v="0"/>
    <x v="7"/>
    <x v="4"/>
    <d v="2021-06-03T00:00:00"/>
    <m/>
    <m/>
    <n v="3"/>
    <x v="1"/>
    <x v="3"/>
    <s v="Manager"/>
    <n v="24"/>
    <n v="0.6"/>
  </r>
  <r>
    <s v="Giulia Russo"/>
    <s v="RUSGIU99B07C351X"/>
    <s v="07-03-1999"/>
    <x v="16"/>
    <x v="0"/>
    <x v="7"/>
    <x v="7"/>
    <d v="2012-09-17T00:00:00"/>
    <m/>
    <m/>
    <n v="12"/>
    <x v="1"/>
    <x v="1"/>
    <s v="Manager"/>
    <n v="24"/>
    <n v="0.6"/>
  </r>
  <r>
    <s v="Marco Bruno"/>
    <s v="BRUMAR70A25C351X"/>
    <s v="25-01-1970"/>
    <x v="5"/>
    <x v="1"/>
    <x v="6"/>
    <x v="8"/>
    <d v="2009-10-07T00:00:00"/>
    <m/>
    <m/>
    <n v="15"/>
    <x v="0"/>
    <x v="1"/>
    <s v="Staff"/>
    <n v="40"/>
    <n v="1"/>
  </r>
  <r>
    <s v="Luca Bianchi"/>
    <s v="BIALUC77B18C351X"/>
    <s v="18-07-1977"/>
    <x v="15"/>
    <x v="0"/>
    <x v="3"/>
    <x v="2"/>
    <d v="2020-10-26T00:00:00"/>
    <m/>
    <m/>
    <n v="4"/>
    <x v="0"/>
    <x v="1"/>
    <s v="Tecnico"/>
    <n v="40"/>
    <n v="1"/>
  </r>
  <r>
    <s v="Sara Romano"/>
    <s v="ROMSAR02B31C351X"/>
    <s v="31-07-2002"/>
    <x v="12"/>
    <x v="0"/>
    <x v="2"/>
    <x v="9"/>
    <d v="2020-03-02T00:00:00"/>
    <m/>
    <m/>
    <n v="5"/>
    <x v="1"/>
    <x v="0"/>
    <s v="Tecnico"/>
    <n v="24"/>
    <n v="0.6"/>
  </r>
  <r>
    <s v="Elena Colombo"/>
    <s v="COLELE91B10C351X"/>
    <s v="10-10-1991"/>
    <x v="23"/>
    <x v="0"/>
    <x v="9"/>
    <x v="4"/>
    <d v="2015-11-16T00:00:00"/>
    <m/>
    <m/>
    <n v="9"/>
    <x v="0"/>
    <x v="3"/>
    <s v="Tecnico"/>
    <n v="40"/>
    <n v="1"/>
  </r>
  <r>
    <s v="Matteo Conti"/>
    <s v="CONMAT66A27C351X"/>
    <s v="27-11-1966"/>
    <x v="26"/>
    <x v="1"/>
    <x v="3"/>
    <x v="4"/>
    <d v="2024-09-20T00:00:00"/>
    <m/>
    <m/>
    <n v="0"/>
    <x v="1"/>
    <x v="0"/>
    <s v="Tecnico"/>
    <n v="24"/>
    <n v="0.6"/>
  </r>
  <r>
    <s v="Alessandro Esposito"/>
    <s v="ESPALE64A07C351X"/>
    <s v="07-08-1964"/>
    <x v="32"/>
    <x v="1"/>
    <x v="7"/>
    <x v="2"/>
    <d v="2020-02-06T00:00:00"/>
    <m/>
    <m/>
    <n v="5"/>
    <x v="0"/>
    <x v="0"/>
    <s v="Staff"/>
    <n v="40"/>
    <n v="1"/>
  </r>
  <r>
    <s v="Giorgia Romano"/>
    <s v="ROMGIO75B15C351X"/>
    <s v="15-04-1975"/>
    <x v="22"/>
    <x v="0"/>
    <x v="0"/>
    <x v="5"/>
    <d v="2023-06-26T00:00:00"/>
    <m/>
    <m/>
    <n v="1"/>
    <x v="0"/>
    <x v="0"/>
    <s v="Manager"/>
    <n v="40"/>
    <n v="1"/>
  </r>
  <r>
    <s v="Matteo Greco"/>
    <s v="GREMAT77A25C351X"/>
    <s v="25-04-1977"/>
    <x v="20"/>
    <x v="1"/>
    <x v="8"/>
    <x v="4"/>
    <d v="2022-03-01T00:00:00"/>
    <m/>
    <m/>
    <n v="3"/>
    <x v="0"/>
    <x v="0"/>
    <s v="Tecnico"/>
    <n v="40"/>
    <n v="1"/>
  </r>
  <r>
    <s v="Valentina Ferrari"/>
    <s v="FERVAL73B27C351X"/>
    <s v="27-10-1973"/>
    <x v="18"/>
    <x v="0"/>
    <x v="5"/>
    <x v="0"/>
    <d v="2009-10-01T00:00:00"/>
    <m/>
    <m/>
    <n v="15"/>
    <x v="0"/>
    <x v="0"/>
    <s v="Manager"/>
    <n v="40"/>
    <n v="1"/>
  </r>
  <r>
    <s v="Valentina Rossi"/>
    <s v="ROSVAL99B28C351X"/>
    <s v="28-12-1999"/>
    <x v="33"/>
    <x v="0"/>
    <x v="9"/>
    <x v="4"/>
    <d v="2022-01-04T00:00:00"/>
    <m/>
    <m/>
    <n v="3"/>
    <x v="0"/>
    <x v="2"/>
    <s v="Staff"/>
    <n v="40"/>
    <n v="1"/>
  </r>
  <r>
    <s v="Francesco Bianchi"/>
    <s v="BIAFRA78A21C351X"/>
    <s v="21-06-1978"/>
    <x v="34"/>
    <x v="1"/>
    <x v="0"/>
    <x v="8"/>
    <d v="2020-02-11T00:00:00"/>
    <m/>
    <m/>
    <n v="5"/>
    <x v="0"/>
    <x v="0"/>
    <s v="Tecnico"/>
    <n v="40"/>
    <n v="1"/>
  </r>
  <r>
    <s v="Sara Costa"/>
    <s v="COSSAR77B06C351X"/>
    <s v="06-05-1977"/>
    <x v="15"/>
    <x v="0"/>
    <x v="5"/>
    <x v="5"/>
    <d v="2020-10-01T00:00:00"/>
    <m/>
    <m/>
    <n v="4"/>
    <x v="0"/>
    <x v="3"/>
    <s v="Manager"/>
    <n v="40"/>
    <n v="1"/>
  </r>
  <r>
    <s v="Matteo Greco"/>
    <s v="GREMAT94A07C351X"/>
    <s v="07-10-1994"/>
    <x v="24"/>
    <x v="1"/>
    <x v="5"/>
    <x v="0"/>
    <d v="2007-03-12T00:00:00"/>
    <m/>
    <m/>
    <n v="18"/>
    <x v="1"/>
    <x v="0"/>
    <s v="Staff"/>
    <n v="24"/>
    <n v="0.6"/>
  </r>
  <r>
    <s v="Sara Conti"/>
    <s v="CONSAR82B06C351X"/>
    <s v="06-10-1982"/>
    <x v="35"/>
    <x v="0"/>
    <x v="1"/>
    <x v="2"/>
    <d v="2010-08-23T00:00:00"/>
    <m/>
    <m/>
    <n v="14"/>
    <x v="1"/>
    <x v="3"/>
    <s v="Staff"/>
    <n v="30"/>
    <n v="0.75"/>
  </r>
  <r>
    <s v="Federica Russo"/>
    <s v="RUSFED90B27C351X"/>
    <s v="27-04-1990"/>
    <x v="36"/>
    <x v="0"/>
    <x v="2"/>
    <x v="9"/>
    <d v="2022-03-01T00:00:00"/>
    <m/>
    <m/>
    <n v="3"/>
    <x v="0"/>
    <x v="1"/>
    <s v="Tecnico"/>
    <n v="40"/>
    <n v="1"/>
  </r>
  <r>
    <s v="Elena Bruno"/>
    <s v="BRUELE02B11C351X"/>
    <s v="11-10-2002"/>
    <x v="12"/>
    <x v="0"/>
    <x v="1"/>
    <x v="5"/>
    <d v="2011-03-01T00:00:00"/>
    <m/>
    <m/>
    <n v="14"/>
    <x v="1"/>
    <x v="3"/>
    <s v="Manager"/>
    <n v="24"/>
    <n v="0.6"/>
  </r>
  <r>
    <s v="Francesco Totti"/>
    <s v="TOTFRA77A01C351X"/>
    <s v="01-11-1977"/>
    <x v="15"/>
    <x v="1"/>
    <x v="3"/>
    <x v="0"/>
    <d v="2014-12-01T00:00:00"/>
    <m/>
    <m/>
    <n v="10"/>
    <x v="1"/>
    <x v="2"/>
    <s v="Staff"/>
    <n v="24"/>
    <n v="0.6"/>
  </r>
  <r>
    <s v="Giovanna Botteri"/>
    <s v="BOTGIO67B25C351X"/>
    <s v="25-10-1967"/>
    <x v="31"/>
    <x v="0"/>
    <x v="8"/>
    <x v="8"/>
    <d v="2019-09-02T00:00:00"/>
    <m/>
    <m/>
    <n v="5"/>
    <x v="0"/>
    <x v="0"/>
    <s v="Staff"/>
    <n v="40"/>
    <n v="1"/>
  </r>
  <r>
    <s v="Roberto Baggio"/>
    <s v="BAGROB76A17C351X"/>
    <s v="17-06-1976"/>
    <x v="20"/>
    <x v="1"/>
    <x v="6"/>
    <x v="1"/>
    <d v="2022-06-16T00:00:00"/>
    <m/>
    <m/>
    <n v="2"/>
    <x v="0"/>
    <x v="2"/>
    <s v="Tecnico"/>
    <n v="40"/>
    <n v="1"/>
  </r>
  <r>
    <s v="Mina Mazzini"/>
    <s v="MAZMIN62B13C351X"/>
    <s v="13-11-1962"/>
    <x v="37"/>
    <x v="0"/>
    <x v="4"/>
    <x v="2"/>
    <d v="2020-10-20T00:00:00"/>
    <m/>
    <m/>
    <n v="4"/>
    <x v="0"/>
    <x v="3"/>
    <s v="Manager"/>
    <n v="40"/>
    <n v="1"/>
  </r>
  <r>
    <s v="Alberto Angela"/>
    <s v="ANGALB78A16C351X"/>
    <s v="16-10-1978"/>
    <x v="34"/>
    <x v="1"/>
    <x v="1"/>
    <x v="9"/>
    <d v="2020-07-01T00:00:00"/>
    <m/>
    <m/>
    <n v="4"/>
    <x v="0"/>
    <x v="3"/>
    <s v="Manager"/>
    <n v="40"/>
    <n v="1"/>
  </r>
  <r>
    <s v="Luciana Littizzetto"/>
    <s v="LITLUC66B25C351X"/>
    <s v="25-07-1966"/>
    <x v="26"/>
    <x v="0"/>
    <x v="8"/>
    <x v="3"/>
    <d v="2022-11-28T00:00:00"/>
    <m/>
    <m/>
    <n v="2"/>
    <x v="1"/>
    <x v="0"/>
    <s v="Tecnico"/>
    <n v="24"/>
    <n v="0.6"/>
  </r>
  <r>
    <s v="Paolo Sorrentino"/>
    <s v="SORPAO71A14C351X"/>
    <s v="14-06-1971"/>
    <x v="10"/>
    <x v="1"/>
    <x v="9"/>
    <x v="8"/>
    <d v="2020-10-21T00:00:00"/>
    <m/>
    <m/>
    <n v="4"/>
    <x v="0"/>
    <x v="3"/>
    <s v="Staff"/>
    <n v="40"/>
    <n v="1"/>
  </r>
  <r>
    <s v="Emma Marrone"/>
    <s v="MAREMM87B09C351X"/>
    <s v="09-06-1987"/>
    <x v="17"/>
    <x v="0"/>
    <x v="4"/>
    <x v="5"/>
    <d v="2022-02-01T00:00:00"/>
    <m/>
    <m/>
    <n v="3"/>
    <x v="1"/>
    <x v="3"/>
    <s v="Manager"/>
    <n v="24"/>
    <n v="0.6"/>
  </r>
  <r>
    <s v="Marco Mengoni"/>
    <s v="MENMAR86A22C351X"/>
    <s v="22-08-1986"/>
    <x v="13"/>
    <x v="1"/>
    <x v="1"/>
    <x v="0"/>
    <d v="2020-06-25T00:00:00"/>
    <m/>
    <m/>
    <n v="4"/>
    <x v="0"/>
    <x v="3"/>
    <s v="Staff"/>
    <n v="40"/>
    <n v="1"/>
  </r>
  <r>
    <s v="Matteo Renzi"/>
    <s v="RENMAT61A09C351X"/>
    <s v="09-06-1961"/>
    <x v="38"/>
    <x v="1"/>
    <x v="4"/>
    <x v="9"/>
    <d v="2021-11-02T00:00:00"/>
    <m/>
    <m/>
    <n v="3"/>
    <x v="1"/>
    <x v="2"/>
    <s v="Staff"/>
    <n v="24"/>
    <n v="0.6"/>
  </r>
  <r>
    <s v="Virginia Raggi"/>
    <s v="RAGVIR71B30C351X"/>
    <s v="30-06-1971"/>
    <x v="10"/>
    <x v="0"/>
    <x v="1"/>
    <x v="2"/>
    <d v="2021-12-13T00:00:00"/>
    <m/>
    <m/>
    <n v="3"/>
    <x v="0"/>
    <x v="3"/>
    <s v="Manager"/>
    <n v="40"/>
    <n v="1"/>
  </r>
  <r>
    <s v="Alessandro Cattelan"/>
    <s v="CATALE88A12C351X"/>
    <s v="12-07-1988"/>
    <x v="21"/>
    <x v="1"/>
    <x v="1"/>
    <x v="3"/>
    <d v="2020-06-01T00:00:00"/>
    <m/>
    <m/>
    <n v="4"/>
    <x v="0"/>
    <x v="3"/>
    <s v="Tecnico"/>
    <n v="40"/>
    <n v="1"/>
  </r>
  <r>
    <s v="Diletta Leotta"/>
    <s v="LEODIL93B17C351X"/>
    <s v="17-12-1993"/>
    <x v="39"/>
    <x v="0"/>
    <x v="4"/>
    <x v="1"/>
    <d v="2020-05-20T00:00:00"/>
    <m/>
    <m/>
    <n v="4"/>
    <x v="1"/>
    <x v="1"/>
    <s v="Staff"/>
    <n v="24"/>
    <n v="0.6"/>
  </r>
  <r>
    <s v="Piero Angela"/>
    <s v="ANGPIE91A07C351X"/>
    <s v="07-04-1991"/>
    <x v="3"/>
    <x v="1"/>
    <x v="5"/>
    <x v="2"/>
    <d v="1995-03-18T00:00:00"/>
    <m/>
    <m/>
    <n v="30"/>
    <x v="0"/>
    <x v="2"/>
    <s v="Tecnico"/>
    <n v="40"/>
    <n v="1"/>
  </r>
  <r>
    <s v="Samantha Cristoforetti"/>
    <s v="CRISAM65B23C351X"/>
    <s v="23-09-1965"/>
    <x v="28"/>
    <x v="0"/>
    <x v="0"/>
    <x v="1"/>
    <d v="1999-06-01T00:00:00"/>
    <m/>
    <m/>
    <n v="25"/>
    <x v="0"/>
    <x v="1"/>
    <s v="Tecnico"/>
    <n v="4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2000000}" name="Tabella pivot3" cacheId="0" applyNumberFormats="0" applyBorderFormats="0" applyFontFormats="0" applyPatternFormats="0" applyAlignmentFormats="0" applyWidthHeightFormats="1" dataCaption="Valori" grandTotalCaption="Tot" updatedVersion="8" minRefreshableVersion="3" useAutoFormatting="1" itemPrintTitles="1" createdVersion="8" indent="0" outline="1" outlineData="1" multipleFieldFilters="0" chartFormat="7" rowHeaderCaption="Contratto">
  <location ref="N30:O33" firstHeaderRow="1" firstDataRow="1" firstDataCol="1"/>
  <pivotFields count="16">
    <pivotField dataField="1" showAll="0"/>
    <pivotField showAll="0"/>
    <pivotField numFmtId="14" showAll="0"/>
    <pivotField numFmtId="167" showAll="0"/>
    <pivotField showAll="0">
      <items count="4">
        <item x="0"/>
        <item x="1"/>
        <item m="1" x="2"/>
        <item t="default"/>
      </items>
    </pivotField>
    <pivotField showAll="0">
      <items count="40">
        <item x="6"/>
        <item m="1" x="28"/>
        <item m="1" x="16"/>
        <item m="1" x="38"/>
        <item x="9"/>
        <item m="1" x="14"/>
        <item m="1" x="20"/>
        <item m="1" x="19"/>
        <item x="2"/>
        <item x="4"/>
        <item x="7"/>
        <item m="1" x="24"/>
        <item m="1" x="35"/>
        <item m="1" x="30"/>
        <item m="1" x="23"/>
        <item m="1" x="36"/>
        <item m="1" x="22"/>
        <item x="0"/>
        <item m="1" x="13"/>
        <item m="1" x="37"/>
        <item m="1" x="26"/>
        <item x="8"/>
        <item m="1" x="15"/>
        <item m="1" x="33"/>
        <item m="1" x="21"/>
        <item m="1" x="25"/>
        <item m="1" x="27"/>
        <item x="5"/>
        <item m="1" x="11"/>
        <item x="1"/>
        <item m="1" x="12"/>
        <item x="3"/>
        <item m="1" x="10"/>
        <item m="1" x="29"/>
        <item m="1" x="31"/>
        <item m="1" x="34"/>
        <item m="1" x="17"/>
        <item m="1" x="18"/>
        <item m="1" x="32"/>
        <item t="default"/>
      </items>
    </pivotField>
    <pivotField showAll="0">
      <items count="103">
        <item m="1" x="100"/>
        <item m="1" x="57"/>
        <item m="1" x="38"/>
        <item m="1" x="37"/>
        <item m="1" x="15"/>
        <item m="1" x="17"/>
        <item m="1" x="26"/>
        <item m="1" x="41"/>
        <item x="0"/>
        <item m="1" x="23"/>
        <item m="1" x="81"/>
        <item m="1" x="64"/>
        <item m="1" x="10"/>
        <item m="1" x="18"/>
        <item m="1" x="31"/>
        <item m="1" x="70"/>
        <item m="1" x="30"/>
        <item m="1" x="55"/>
        <item m="1" x="59"/>
        <item m="1" x="34"/>
        <item m="1" x="90"/>
        <item m="1" x="82"/>
        <item m="1" x="98"/>
        <item m="1" x="96"/>
        <item m="1" x="47"/>
        <item m="1" x="79"/>
        <item m="1" x="33"/>
        <item m="1" x="68"/>
        <item m="1" x="32"/>
        <item m="1" x="91"/>
        <item m="1" x="93"/>
        <item m="1" x="74"/>
        <item m="1" x="60"/>
        <item m="1" x="52"/>
        <item m="1" x="76"/>
        <item m="1" x="24"/>
        <item m="1" x="72"/>
        <item m="1" x="42"/>
        <item m="1" x="78"/>
        <item m="1" x="29"/>
        <item m="1" x="92"/>
        <item m="1" x="48"/>
        <item x="3"/>
        <item m="1" x="44"/>
        <item m="1" x="50"/>
        <item m="1" x="19"/>
        <item m="1" x="77"/>
        <item m="1" x="58"/>
        <item m="1" x="88"/>
        <item x="2"/>
        <item m="1" x="95"/>
        <item m="1" x="62"/>
        <item m="1" x="69"/>
        <item x="7"/>
        <item m="1" x="22"/>
        <item x="4"/>
        <item m="1" x="25"/>
        <item m="1" x="45"/>
        <item x="1"/>
        <item m="1" x="75"/>
        <item m="1" x="28"/>
        <item m="1" x="84"/>
        <item m="1" x="51"/>
        <item m="1" x="12"/>
        <item m="1" x="40"/>
        <item m="1" x="16"/>
        <item m="1" x="61"/>
        <item m="1" x="43"/>
        <item m="1" x="65"/>
        <item m="1" x="71"/>
        <item m="1" x="86"/>
        <item m="1" x="14"/>
        <item m="1" x="63"/>
        <item m="1" x="97"/>
        <item x="5"/>
        <item m="1" x="89"/>
        <item m="1" x="80"/>
        <item m="1" x="99"/>
        <item m="1" x="11"/>
        <item m="1" x="49"/>
        <item x="6"/>
        <item m="1" x="46"/>
        <item m="1" x="53"/>
        <item m="1" x="21"/>
        <item m="1" x="101"/>
        <item m="1" x="83"/>
        <item m="1" x="66"/>
        <item m="1" x="36"/>
        <item m="1" x="20"/>
        <item m="1" x="94"/>
        <item m="1" x="56"/>
        <item m="1" x="54"/>
        <item m="1" x="39"/>
        <item m="1" x="87"/>
        <item m="1" x="27"/>
        <item x="8"/>
        <item m="1" x="13"/>
        <item m="1" x="85"/>
        <item m="1" x="73"/>
        <item m="1" x="67"/>
        <item x="9"/>
        <item m="1" x="35"/>
        <item t="default"/>
      </items>
    </pivotField>
    <pivotField numFmtId="14" showAll="0"/>
    <pivotField showAll="0"/>
    <pivotField showAll="0"/>
    <pivotField numFmtId="1" showAll="0"/>
    <pivotField axis="axisRow" showAll="0">
      <items count="8">
        <item m="1" x="5"/>
        <item m="1" x="2"/>
        <item m="1" x="4"/>
        <item m="1" x="3"/>
        <item m="1" x="6"/>
        <item x="0"/>
        <item x="1"/>
        <item t="default"/>
      </items>
    </pivotField>
    <pivotField showAll="0">
      <items count="34">
        <item m="1" x="13"/>
        <item x="0"/>
        <item m="1" x="12"/>
        <item m="1" x="14"/>
        <item m="1" x="20"/>
        <item m="1" x="9"/>
        <item m="1" x="23"/>
        <item x="1"/>
        <item m="1" x="16"/>
        <item m="1" x="21"/>
        <item m="1" x="11"/>
        <item m="1" x="8"/>
        <item m="1" x="24"/>
        <item x="2"/>
        <item m="1" x="18"/>
        <item m="1" x="4"/>
        <item m="1" x="22"/>
        <item m="1" x="7"/>
        <item m="1" x="26"/>
        <item x="3"/>
        <item m="1" x="28"/>
        <item m="1" x="17"/>
        <item m="1" x="29"/>
        <item m="1" x="15"/>
        <item m="1" x="19"/>
        <item m="1" x="6"/>
        <item m="1" x="30"/>
        <item m="1" x="5"/>
        <item m="1" x="25"/>
        <item m="1" x="27"/>
        <item m="1" x="10"/>
        <item m="1" x="32"/>
        <item m="1" x="31"/>
        <item t="default"/>
      </items>
    </pivotField>
    <pivotField showAll="0"/>
    <pivotField numFmtId="49" showAll="0"/>
    <pivotField showAll="0" defaultSubtotal="0"/>
  </pivotFields>
  <rowFields count="1">
    <field x="11"/>
  </rowFields>
  <rowItems count="3">
    <i>
      <x v="5"/>
    </i>
    <i>
      <x v="6"/>
    </i>
    <i t="grand">
      <x/>
    </i>
  </rowItems>
  <colItems count="1">
    <i/>
  </colItems>
  <dataFields count="1">
    <dataField name="Conteggio " fld="0" subtotal="count" baseField="0" baseItem="0"/>
  </dataFields>
  <chartFormats count="1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1000000}" name="Tabella pivot8" cacheId="0" applyNumberFormats="0" applyBorderFormats="0" applyFontFormats="0" applyPatternFormats="0" applyAlignmentFormats="0" applyWidthHeightFormats="1" dataCaption="Valori" grandTotalCaption="Tot" updatedVersion="8" minRefreshableVersion="3" useAutoFormatting="1" itemPrintTitles="1" createdVersion="8" indent="0" outline="1" outlineData="1" multipleFieldFilters="0" chartFormat="23" rowHeaderCaption="Sesso" colHeaderCaption="">
  <location ref="B30:C33" firstHeaderRow="1" firstDataRow="1" firstDataCol="1"/>
  <pivotFields count="16">
    <pivotField dataField="1" showAll="0"/>
    <pivotField showAll="0"/>
    <pivotField numFmtId="14" showAll="0"/>
    <pivotField numFmtId="167" showAll="0"/>
    <pivotField axis="axisRow" showAll="0">
      <items count="4">
        <item x="0"/>
        <item x="1"/>
        <item m="1" x="2"/>
        <item t="default"/>
      </items>
    </pivotField>
    <pivotField showAll="0">
      <items count="40">
        <item x="6"/>
        <item m="1" x="28"/>
        <item m="1" x="16"/>
        <item m="1" x="38"/>
        <item x="9"/>
        <item m="1" x="14"/>
        <item m="1" x="20"/>
        <item m="1" x="19"/>
        <item x="2"/>
        <item x="4"/>
        <item x="7"/>
        <item m="1" x="24"/>
        <item m="1" x="35"/>
        <item m="1" x="30"/>
        <item m="1" x="23"/>
        <item m="1" x="36"/>
        <item m="1" x="22"/>
        <item x="0"/>
        <item m="1" x="13"/>
        <item m="1" x="37"/>
        <item m="1" x="26"/>
        <item x="8"/>
        <item m="1" x="15"/>
        <item m="1" x="33"/>
        <item m="1" x="21"/>
        <item m="1" x="25"/>
        <item m="1" x="27"/>
        <item x="5"/>
        <item m="1" x="11"/>
        <item x="1"/>
        <item m="1" x="12"/>
        <item x="3"/>
        <item m="1" x="10"/>
        <item m="1" x="29"/>
        <item m="1" x="31"/>
        <item m="1" x="34"/>
        <item m="1" x="17"/>
        <item m="1" x="18"/>
        <item m="1" x="32"/>
        <item t="default"/>
      </items>
    </pivotField>
    <pivotField showAll="0">
      <items count="103">
        <item m="1" x="100"/>
        <item m="1" x="57"/>
        <item m="1" x="38"/>
        <item m="1" x="37"/>
        <item m="1" x="15"/>
        <item m="1" x="17"/>
        <item m="1" x="26"/>
        <item m="1" x="41"/>
        <item x="0"/>
        <item m="1" x="23"/>
        <item m="1" x="81"/>
        <item m="1" x="64"/>
        <item m="1" x="10"/>
        <item m="1" x="18"/>
        <item m="1" x="31"/>
        <item m="1" x="70"/>
        <item m="1" x="30"/>
        <item m="1" x="55"/>
        <item m="1" x="59"/>
        <item m="1" x="34"/>
        <item m="1" x="90"/>
        <item m="1" x="82"/>
        <item m="1" x="98"/>
        <item m="1" x="96"/>
        <item m="1" x="47"/>
        <item m="1" x="79"/>
        <item m="1" x="33"/>
        <item m="1" x="68"/>
        <item m="1" x="32"/>
        <item m="1" x="91"/>
        <item m="1" x="93"/>
        <item m="1" x="74"/>
        <item m="1" x="60"/>
        <item m="1" x="52"/>
        <item m="1" x="76"/>
        <item m="1" x="24"/>
        <item m="1" x="72"/>
        <item m="1" x="42"/>
        <item m="1" x="78"/>
        <item m="1" x="29"/>
        <item m="1" x="92"/>
        <item m="1" x="48"/>
        <item x="3"/>
        <item m="1" x="44"/>
        <item m="1" x="50"/>
        <item m="1" x="19"/>
        <item m="1" x="77"/>
        <item m="1" x="58"/>
        <item m="1" x="88"/>
        <item x="2"/>
        <item m="1" x="95"/>
        <item m="1" x="62"/>
        <item m="1" x="69"/>
        <item x="7"/>
        <item m="1" x="22"/>
        <item x="4"/>
        <item m="1" x="25"/>
        <item m="1" x="45"/>
        <item x="1"/>
        <item m="1" x="75"/>
        <item m="1" x="28"/>
        <item m="1" x="84"/>
        <item m="1" x="51"/>
        <item m="1" x="12"/>
        <item m="1" x="40"/>
        <item m="1" x="16"/>
        <item m="1" x="61"/>
        <item m="1" x="43"/>
        <item m="1" x="65"/>
        <item m="1" x="71"/>
        <item m="1" x="86"/>
        <item m="1" x="14"/>
        <item m="1" x="63"/>
        <item m="1" x="97"/>
        <item x="5"/>
        <item m="1" x="89"/>
        <item m="1" x="80"/>
        <item m="1" x="99"/>
        <item m="1" x="11"/>
        <item m="1" x="49"/>
        <item x="6"/>
        <item m="1" x="46"/>
        <item m="1" x="53"/>
        <item m="1" x="21"/>
        <item m="1" x="101"/>
        <item m="1" x="83"/>
        <item m="1" x="66"/>
        <item m="1" x="36"/>
        <item m="1" x="20"/>
        <item m="1" x="94"/>
        <item m="1" x="56"/>
        <item m="1" x="54"/>
        <item m="1" x="39"/>
        <item m="1" x="87"/>
        <item m="1" x="27"/>
        <item x="8"/>
        <item m="1" x="13"/>
        <item m="1" x="85"/>
        <item m="1" x="73"/>
        <item m="1" x="67"/>
        <item x="9"/>
        <item m="1" x="35"/>
        <item t="default"/>
      </items>
    </pivotField>
    <pivotField numFmtId="14" showAll="0"/>
    <pivotField showAll="0"/>
    <pivotField showAll="0"/>
    <pivotField numFmtId="1" showAll="0"/>
    <pivotField showAll="0"/>
    <pivotField showAll="0">
      <items count="34">
        <item m="1" x="13"/>
        <item x="0"/>
        <item m="1" x="12"/>
        <item m="1" x="14"/>
        <item m="1" x="20"/>
        <item m="1" x="9"/>
        <item m="1" x="23"/>
        <item x="1"/>
        <item m="1" x="16"/>
        <item m="1" x="21"/>
        <item m="1" x="11"/>
        <item m="1" x="8"/>
        <item m="1" x="24"/>
        <item x="2"/>
        <item m="1" x="18"/>
        <item m="1" x="4"/>
        <item m="1" x="22"/>
        <item m="1" x="7"/>
        <item m="1" x="26"/>
        <item x="3"/>
        <item m="1" x="28"/>
        <item m="1" x="17"/>
        <item m="1" x="29"/>
        <item m="1" x="15"/>
        <item m="1" x="19"/>
        <item m="1" x="6"/>
        <item m="1" x="30"/>
        <item m="1" x="5"/>
        <item m="1" x="25"/>
        <item m="1" x="27"/>
        <item m="1" x="10"/>
        <item m="1" x="32"/>
        <item m="1" x="31"/>
        <item t="default"/>
      </items>
    </pivotField>
    <pivotField showAll="0"/>
    <pivotField numFmtId="49" showAll="0"/>
    <pivotField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eggio" fld="0" subtotal="count" baseField="14" baseItem="0"/>
  </dataFields>
  <formats count="4">
    <format dxfId="4">
      <pivotArea dataOnly="0" labelOnly="1" fieldPosition="0">
        <references count="1">
          <reference field="4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outline="0" fieldPosition="0">
        <references count="1">
          <reference field="4294967294" count="1">
            <x v="0"/>
          </reference>
        </references>
      </pivotArea>
    </format>
  </formats>
  <chartFormats count="3"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4000000}" name="Tabella pivot2" cacheId="0" applyNumberFormats="0" applyBorderFormats="0" applyFontFormats="0" applyPatternFormats="0" applyAlignmentFormats="0" applyWidthHeightFormats="1" dataCaption="Valori" grandTotalCaption="Tot" updatedVersion="8" minRefreshableVersion="3" useAutoFormatting="1" itemPrintTitles="1" createdVersion="8" indent="0" outline="1" outlineData="1" multipleFieldFilters="0" chartFormat="18" rowHeaderCaption="Età">
  <location ref="B10:C20" firstHeaderRow="1" firstDataRow="1" firstDataCol="1"/>
  <pivotFields count="16">
    <pivotField showAll="0"/>
    <pivotField showAll="0"/>
    <pivotField numFmtId="14" showAll="0"/>
    <pivotField axis="axisRow" dataField="1" numFmtId="167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>
      <items count="4">
        <item x="0"/>
        <item x="1"/>
        <item m="1" x="2"/>
        <item t="default"/>
      </items>
    </pivotField>
    <pivotField showAll="0">
      <items count="40">
        <item x="6"/>
        <item m="1" x="28"/>
        <item m="1" x="16"/>
        <item m="1" x="38"/>
        <item x="9"/>
        <item m="1" x="14"/>
        <item m="1" x="20"/>
        <item m="1" x="19"/>
        <item x="2"/>
        <item x="4"/>
        <item x="7"/>
        <item m="1" x="24"/>
        <item m="1" x="35"/>
        <item m="1" x="30"/>
        <item m="1" x="23"/>
        <item m="1" x="36"/>
        <item m="1" x="22"/>
        <item x="0"/>
        <item m="1" x="13"/>
        <item m="1" x="37"/>
        <item m="1" x="26"/>
        <item x="8"/>
        <item m="1" x="15"/>
        <item m="1" x="33"/>
        <item m="1" x="21"/>
        <item m="1" x="25"/>
        <item m="1" x="27"/>
        <item x="5"/>
        <item m="1" x="11"/>
        <item x="1"/>
        <item m="1" x="12"/>
        <item x="3"/>
        <item m="1" x="10"/>
        <item m="1" x="29"/>
        <item m="1" x="31"/>
        <item m="1" x="34"/>
        <item m="1" x="17"/>
        <item m="1" x="18"/>
        <item m="1" x="32"/>
        <item t="default"/>
      </items>
    </pivotField>
    <pivotField showAll="0">
      <items count="103">
        <item m="1" x="100"/>
        <item m="1" x="57"/>
        <item m="1" x="38"/>
        <item m="1" x="37"/>
        <item m="1" x="15"/>
        <item m="1" x="17"/>
        <item m="1" x="26"/>
        <item m="1" x="41"/>
        <item x="0"/>
        <item m="1" x="23"/>
        <item m="1" x="81"/>
        <item m="1" x="64"/>
        <item m="1" x="10"/>
        <item m="1" x="18"/>
        <item m="1" x="31"/>
        <item m="1" x="70"/>
        <item m="1" x="30"/>
        <item m="1" x="55"/>
        <item m="1" x="59"/>
        <item m="1" x="34"/>
        <item m="1" x="90"/>
        <item m="1" x="82"/>
        <item m="1" x="98"/>
        <item m="1" x="96"/>
        <item m="1" x="47"/>
        <item m="1" x="79"/>
        <item m="1" x="33"/>
        <item m="1" x="68"/>
        <item m="1" x="32"/>
        <item m="1" x="91"/>
        <item m="1" x="93"/>
        <item m="1" x="74"/>
        <item m="1" x="60"/>
        <item m="1" x="52"/>
        <item m="1" x="76"/>
        <item m="1" x="24"/>
        <item m="1" x="72"/>
        <item m="1" x="42"/>
        <item m="1" x="78"/>
        <item m="1" x="29"/>
        <item m="1" x="92"/>
        <item m="1" x="48"/>
        <item x="3"/>
        <item m="1" x="44"/>
        <item m="1" x="50"/>
        <item m="1" x="19"/>
        <item m="1" x="77"/>
        <item m="1" x="58"/>
        <item m="1" x="88"/>
        <item x="2"/>
        <item m="1" x="95"/>
        <item m="1" x="62"/>
        <item m="1" x="69"/>
        <item x="7"/>
        <item m="1" x="22"/>
        <item x="4"/>
        <item m="1" x="25"/>
        <item m="1" x="45"/>
        <item x="1"/>
        <item m="1" x="75"/>
        <item m="1" x="28"/>
        <item m="1" x="84"/>
        <item m="1" x="51"/>
        <item m="1" x="12"/>
        <item m="1" x="40"/>
        <item m="1" x="16"/>
        <item m="1" x="61"/>
        <item m="1" x="43"/>
        <item m="1" x="65"/>
        <item m="1" x="71"/>
        <item m="1" x="86"/>
        <item m="1" x="14"/>
        <item m="1" x="63"/>
        <item m="1" x="97"/>
        <item x="5"/>
        <item m="1" x="89"/>
        <item m="1" x="80"/>
        <item m="1" x="99"/>
        <item m="1" x="11"/>
        <item m="1" x="49"/>
        <item x="6"/>
        <item m="1" x="46"/>
        <item m="1" x="53"/>
        <item m="1" x="21"/>
        <item m="1" x="101"/>
        <item m="1" x="83"/>
        <item m="1" x="66"/>
        <item m="1" x="36"/>
        <item m="1" x="20"/>
        <item m="1" x="94"/>
        <item m="1" x="56"/>
        <item m="1" x="54"/>
        <item m="1" x="39"/>
        <item m="1" x="87"/>
        <item m="1" x="27"/>
        <item x="8"/>
        <item m="1" x="13"/>
        <item m="1" x="85"/>
        <item m="1" x="73"/>
        <item m="1" x="67"/>
        <item x="9"/>
        <item m="1" x="35"/>
        <item t="default"/>
      </items>
    </pivotField>
    <pivotField numFmtId="14" showAll="0"/>
    <pivotField showAll="0"/>
    <pivotField showAll="0"/>
    <pivotField numFmtId="1" showAll="0"/>
    <pivotField showAll="0"/>
    <pivotField showAll="0">
      <items count="34">
        <item m="1" x="13"/>
        <item x="0"/>
        <item m="1" x="12"/>
        <item m="1" x="14"/>
        <item m="1" x="20"/>
        <item m="1" x="9"/>
        <item m="1" x="23"/>
        <item x="1"/>
        <item m="1" x="16"/>
        <item m="1" x="21"/>
        <item m="1" x="11"/>
        <item m="1" x="8"/>
        <item m="1" x="24"/>
        <item x="2"/>
        <item m="1" x="18"/>
        <item m="1" x="4"/>
        <item m="1" x="22"/>
        <item m="1" x="7"/>
        <item m="1" x="26"/>
        <item x="3"/>
        <item m="1" x="28"/>
        <item m="1" x="17"/>
        <item m="1" x="29"/>
        <item m="1" x="15"/>
        <item m="1" x="19"/>
        <item m="1" x="6"/>
        <item m="1" x="30"/>
        <item m="1" x="5"/>
        <item m="1" x="25"/>
        <item m="1" x="27"/>
        <item m="1" x="10"/>
        <item m="1" x="32"/>
        <item m="1" x="31"/>
        <item t="default"/>
      </items>
    </pivotField>
    <pivotField showAll="0"/>
    <pivotField numFmtId="49" showAll="0"/>
    <pivotField showAll="0" defaultSubtotal="0"/>
  </pivotFields>
  <rowFields count="1">
    <field x="3"/>
  </rowFields>
  <row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eggio" fld="3" subtotal="count" baseField="3" baseItem="0"/>
  </dataFields>
  <formats count="3">
    <format dxfId="7">
      <pivotArea grandRow="1" outline="0" collapsedLevelsAreSubtotals="1" fieldPosition="0"/>
    </format>
    <format dxfId="6">
      <pivotArea collapsedLevelsAreSubtotals="1" fieldPosition="0">
        <references count="1">
          <reference field="3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5">
      <pivotArea outline="0" fieldPosition="0">
        <references count="1">
          <reference field="4294967294" count="1">
            <x v="0"/>
          </reference>
        </references>
      </pivotArea>
    </format>
  </format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3000000}" name="Tabella pivot17" cacheId="0" applyNumberFormats="0" applyBorderFormats="0" applyFontFormats="0" applyPatternFormats="0" applyAlignmentFormats="0" applyWidthHeightFormats="1" dataCaption="Valori" grandTotalCaption="Tot" updatedVersion="8" minRefreshableVersion="3" useAutoFormatting="1" itemPrintTitles="1" createdVersion="8" indent="0" outline="1" outlineData="1" multipleFieldFilters="0" chartFormat="11" rowHeaderCaption="Livello">
  <location ref="F48:G53" firstHeaderRow="1" firstDataRow="1" firstDataCol="1"/>
  <pivotFields count="16">
    <pivotField dataField="1" showAll="0"/>
    <pivotField showAll="0"/>
    <pivotField numFmtId="14" showAll="0"/>
    <pivotField numFmtId="167" showAll="0"/>
    <pivotField showAll="0">
      <items count="4">
        <item x="0"/>
        <item x="1"/>
        <item m="1" x="2"/>
        <item t="default"/>
      </items>
    </pivotField>
    <pivotField showAll="0">
      <items count="40">
        <item x="6"/>
        <item m="1" x="28"/>
        <item m="1" x="16"/>
        <item m="1" x="38"/>
        <item x="9"/>
        <item m="1" x="14"/>
        <item m="1" x="20"/>
        <item m="1" x="19"/>
        <item x="2"/>
        <item x="4"/>
        <item x="7"/>
        <item m="1" x="24"/>
        <item m="1" x="35"/>
        <item m="1" x="30"/>
        <item m="1" x="23"/>
        <item m="1" x="36"/>
        <item m="1" x="22"/>
        <item x="0"/>
        <item m="1" x="13"/>
        <item m="1" x="37"/>
        <item m="1" x="26"/>
        <item x="8"/>
        <item m="1" x="15"/>
        <item m="1" x="33"/>
        <item m="1" x="21"/>
        <item m="1" x="25"/>
        <item m="1" x="27"/>
        <item x="5"/>
        <item m="1" x="11"/>
        <item x="1"/>
        <item m="1" x="12"/>
        <item x="3"/>
        <item m="1" x="10"/>
        <item m="1" x="29"/>
        <item m="1" x="31"/>
        <item m="1" x="34"/>
        <item m="1" x="17"/>
        <item m="1" x="18"/>
        <item m="1" x="32"/>
        <item t="default"/>
      </items>
    </pivotField>
    <pivotField showAll="0">
      <items count="103">
        <item m="1" x="100"/>
        <item m="1" x="57"/>
        <item m="1" x="38"/>
        <item m="1" x="37"/>
        <item m="1" x="15"/>
        <item m="1" x="17"/>
        <item m="1" x="26"/>
        <item m="1" x="41"/>
        <item x="0"/>
        <item m="1" x="23"/>
        <item m="1" x="81"/>
        <item m="1" x="64"/>
        <item m="1" x="10"/>
        <item m="1" x="18"/>
        <item m="1" x="31"/>
        <item m="1" x="70"/>
        <item m="1" x="30"/>
        <item m="1" x="55"/>
        <item m="1" x="59"/>
        <item m="1" x="34"/>
        <item m="1" x="90"/>
        <item m="1" x="82"/>
        <item m="1" x="98"/>
        <item m="1" x="96"/>
        <item m="1" x="47"/>
        <item m="1" x="79"/>
        <item m="1" x="33"/>
        <item m="1" x="68"/>
        <item m="1" x="32"/>
        <item m="1" x="91"/>
        <item m="1" x="93"/>
        <item m="1" x="74"/>
        <item m="1" x="60"/>
        <item m="1" x="52"/>
        <item m="1" x="76"/>
        <item m="1" x="24"/>
        <item m="1" x="72"/>
        <item m="1" x="42"/>
        <item m="1" x="78"/>
        <item m="1" x="29"/>
        <item m="1" x="92"/>
        <item m="1" x="48"/>
        <item x="3"/>
        <item m="1" x="44"/>
        <item m="1" x="50"/>
        <item m="1" x="19"/>
        <item m="1" x="77"/>
        <item m="1" x="58"/>
        <item m="1" x="88"/>
        <item x="2"/>
        <item m="1" x="95"/>
        <item m="1" x="62"/>
        <item m="1" x="69"/>
        <item x="7"/>
        <item m="1" x="22"/>
        <item x="4"/>
        <item m="1" x="25"/>
        <item m="1" x="45"/>
        <item x="1"/>
        <item m="1" x="75"/>
        <item m="1" x="28"/>
        <item m="1" x="84"/>
        <item m="1" x="51"/>
        <item m="1" x="12"/>
        <item m="1" x="40"/>
        <item m="1" x="16"/>
        <item m="1" x="61"/>
        <item m="1" x="43"/>
        <item m="1" x="65"/>
        <item m="1" x="71"/>
        <item m="1" x="86"/>
        <item m="1" x="14"/>
        <item m="1" x="63"/>
        <item m="1" x="97"/>
        <item x="5"/>
        <item m="1" x="89"/>
        <item m="1" x="80"/>
        <item m="1" x="99"/>
        <item m="1" x="11"/>
        <item m="1" x="49"/>
        <item x="6"/>
        <item m="1" x="46"/>
        <item m="1" x="53"/>
        <item m="1" x="21"/>
        <item m="1" x="101"/>
        <item m="1" x="83"/>
        <item m="1" x="66"/>
        <item m="1" x="36"/>
        <item m="1" x="20"/>
        <item m="1" x="94"/>
        <item m="1" x="56"/>
        <item m="1" x="54"/>
        <item m="1" x="39"/>
        <item m="1" x="87"/>
        <item m="1" x="27"/>
        <item x="8"/>
        <item m="1" x="13"/>
        <item m="1" x="85"/>
        <item m="1" x="73"/>
        <item m="1" x="67"/>
        <item x="9"/>
        <item m="1" x="35"/>
        <item t="default"/>
      </items>
    </pivotField>
    <pivotField showAll="0"/>
    <pivotField showAll="0"/>
    <pivotField showAll="0"/>
    <pivotField numFmtId="1" showAll="0"/>
    <pivotField showAll="0"/>
    <pivotField axis="axisRow" showAll="0">
      <items count="34">
        <item m="1" x="13"/>
        <item x="0"/>
        <item m="1" x="12"/>
        <item m="1" x="14"/>
        <item m="1" x="20"/>
        <item m="1" x="9"/>
        <item m="1" x="23"/>
        <item x="1"/>
        <item m="1" x="16"/>
        <item m="1" x="21"/>
        <item m="1" x="11"/>
        <item m="1" x="8"/>
        <item m="1" x="24"/>
        <item m="1" x="18"/>
        <item m="1" x="4"/>
        <item m="1" x="22"/>
        <item m="1" x="7"/>
        <item m="1" x="26"/>
        <item m="1" x="28"/>
        <item m="1" x="17"/>
        <item m="1" x="29"/>
        <item m="1" x="15"/>
        <item m="1" x="19"/>
        <item m="1" x="6"/>
        <item m="1" x="30"/>
        <item m="1" x="5"/>
        <item m="1" x="25"/>
        <item m="1" x="27"/>
        <item m="1" x="10"/>
        <item m="1" x="32"/>
        <item m="1" x="31"/>
        <item x="2"/>
        <item x="3"/>
        <item t="default"/>
      </items>
    </pivotField>
    <pivotField showAll="0"/>
    <pivotField showAll="0"/>
    <pivotField numFmtId="10" showAll="0"/>
  </pivotFields>
  <rowFields count="1">
    <field x="12"/>
  </rowFields>
  <rowItems count="5">
    <i>
      <x v="1"/>
    </i>
    <i>
      <x v="7"/>
    </i>
    <i>
      <x v="31"/>
    </i>
    <i>
      <x v="32"/>
    </i>
    <i t="grand">
      <x/>
    </i>
  </rowItems>
  <colItems count="1">
    <i/>
  </colItems>
  <dataFields count="1">
    <dataField name="Conteggio" fld="0" subtotal="count" baseField="14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7000000}" name="Tabella pivot4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A4" firstHeaderRow="1" firstDataRow="1" firstDataCol="0"/>
  <pivotFields count="16">
    <pivotField showAll="0"/>
    <pivotField showAll="0"/>
    <pivotField numFmtId="14" showAll="0"/>
    <pivotField dataField="1" numFmtId="167" showAll="0"/>
    <pivotField showAll="0">
      <items count="4">
        <item x="0"/>
        <item x="1"/>
        <item m="1" x="2"/>
        <item t="default"/>
      </items>
    </pivotField>
    <pivotField showAll="0">
      <items count="40">
        <item x="6"/>
        <item m="1" x="28"/>
        <item m="1" x="16"/>
        <item m="1" x="38"/>
        <item x="9"/>
        <item m="1" x="14"/>
        <item m="1" x="20"/>
        <item m="1" x="19"/>
        <item x="2"/>
        <item x="4"/>
        <item x="7"/>
        <item m="1" x="24"/>
        <item m="1" x="35"/>
        <item m="1" x="30"/>
        <item m="1" x="23"/>
        <item m="1" x="36"/>
        <item m="1" x="22"/>
        <item x="0"/>
        <item m="1" x="13"/>
        <item m="1" x="37"/>
        <item m="1" x="26"/>
        <item x="8"/>
        <item m="1" x="15"/>
        <item m="1" x="33"/>
        <item m="1" x="21"/>
        <item m="1" x="25"/>
        <item m="1" x="27"/>
        <item x="5"/>
        <item m="1" x="11"/>
        <item x="1"/>
        <item m="1" x="12"/>
        <item x="3"/>
        <item m="1" x="10"/>
        <item m="1" x="29"/>
        <item m="1" x="31"/>
        <item m="1" x="34"/>
        <item m="1" x="17"/>
        <item m="1" x="18"/>
        <item m="1" x="32"/>
        <item t="default"/>
      </items>
    </pivotField>
    <pivotField showAll="0">
      <items count="103">
        <item m="1" x="100"/>
        <item m="1" x="57"/>
        <item m="1" x="38"/>
        <item m="1" x="37"/>
        <item m="1" x="15"/>
        <item m="1" x="17"/>
        <item m="1" x="26"/>
        <item m="1" x="41"/>
        <item x="0"/>
        <item m="1" x="23"/>
        <item m="1" x="81"/>
        <item m="1" x="64"/>
        <item m="1" x="10"/>
        <item m="1" x="18"/>
        <item m="1" x="31"/>
        <item m="1" x="70"/>
        <item m="1" x="30"/>
        <item m="1" x="55"/>
        <item m="1" x="59"/>
        <item m="1" x="34"/>
        <item m="1" x="90"/>
        <item m="1" x="82"/>
        <item m="1" x="98"/>
        <item m="1" x="96"/>
        <item m="1" x="47"/>
        <item m="1" x="79"/>
        <item m="1" x="33"/>
        <item m="1" x="68"/>
        <item m="1" x="32"/>
        <item m="1" x="91"/>
        <item m="1" x="93"/>
        <item m="1" x="74"/>
        <item m="1" x="60"/>
        <item m="1" x="52"/>
        <item m="1" x="76"/>
        <item m="1" x="24"/>
        <item m="1" x="72"/>
        <item m="1" x="42"/>
        <item m="1" x="78"/>
        <item m="1" x="29"/>
        <item m="1" x="92"/>
        <item m="1" x="48"/>
        <item x="3"/>
        <item m="1" x="44"/>
        <item m="1" x="50"/>
        <item m="1" x="19"/>
        <item m="1" x="77"/>
        <item m="1" x="58"/>
        <item m="1" x="88"/>
        <item x="2"/>
        <item m="1" x="95"/>
        <item m="1" x="62"/>
        <item m="1" x="69"/>
        <item x="7"/>
        <item m="1" x="22"/>
        <item x="4"/>
        <item m="1" x="25"/>
        <item m="1" x="45"/>
        <item x="1"/>
        <item m="1" x="75"/>
        <item m="1" x="28"/>
        <item m="1" x="84"/>
        <item m="1" x="51"/>
        <item m="1" x="12"/>
        <item m="1" x="40"/>
        <item m="1" x="16"/>
        <item m="1" x="61"/>
        <item m="1" x="43"/>
        <item m="1" x="65"/>
        <item m="1" x="71"/>
        <item m="1" x="86"/>
        <item m="1" x="14"/>
        <item m="1" x="63"/>
        <item m="1" x="97"/>
        <item x="5"/>
        <item m="1" x="89"/>
        <item m="1" x="80"/>
        <item m="1" x="99"/>
        <item m="1" x="11"/>
        <item m="1" x="49"/>
        <item x="6"/>
        <item m="1" x="46"/>
        <item m="1" x="53"/>
        <item m="1" x="21"/>
        <item m="1" x="101"/>
        <item m="1" x="83"/>
        <item m="1" x="66"/>
        <item m="1" x="36"/>
        <item m="1" x="20"/>
        <item m="1" x="94"/>
        <item m="1" x="56"/>
        <item m="1" x="54"/>
        <item m="1" x="39"/>
        <item m="1" x="87"/>
        <item m="1" x="27"/>
        <item x="8"/>
        <item m="1" x="13"/>
        <item m="1" x="85"/>
        <item m="1" x="73"/>
        <item m="1" x="67"/>
        <item x="9"/>
        <item m="1" x="35"/>
        <item t="default"/>
      </items>
    </pivotField>
    <pivotField numFmtId="14" showAll="0"/>
    <pivotField showAll="0"/>
    <pivotField showAll="0"/>
    <pivotField numFmtId="1" showAll="0"/>
    <pivotField showAll="0"/>
    <pivotField showAll="0">
      <items count="34">
        <item m="1" x="13"/>
        <item x="0"/>
        <item m="1" x="12"/>
        <item m="1" x="14"/>
        <item m="1" x="20"/>
        <item m="1" x="9"/>
        <item m="1" x="23"/>
        <item x="1"/>
        <item m="1" x="16"/>
        <item m="1" x="21"/>
        <item m="1" x="11"/>
        <item m="1" x="8"/>
        <item m="1" x="24"/>
        <item x="2"/>
        <item m="1" x="18"/>
        <item m="1" x="4"/>
        <item m="1" x="22"/>
        <item m="1" x="7"/>
        <item m="1" x="26"/>
        <item x="3"/>
        <item m="1" x="28"/>
        <item m="1" x="17"/>
        <item m="1" x="29"/>
        <item m="1" x="15"/>
        <item m="1" x="19"/>
        <item m="1" x="6"/>
        <item m="1" x="30"/>
        <item m="1" x="5"/>
        <item m="1" x="25"/>
        <item m="1" x="27"/>
        <item m="1" x="10"/>
        <item m="1" x="32"/>
        <item m="1" x="31"/>
        <item t="default"/>
      </items>
    </pivotField>
    <pivotField showAll="0"/>
    <pivotField numFmtId="49" showAll="0"/>
    <pivotField showAll="0" defaultSubtotal="0"/>
  </pivotFields>
  <rowItems count="1">
    <i/>
  </rowItems>
  <colItems count="1">
    <i/>
  </colItems>
  <dataFields count="1">
    <dataField name="Media di ETA'" fld="3" subtotal="average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8000000}" name="Tabella pivot6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6:A7" firstHeaderRow="1" firstDataRow="1" firstDataCol="0"/>
  <pivotFields count="16">
    <pivotField showAll="0"/>
    <pivotField showAll="0"/>
    <pivotField numFmtId="14" showAll="0"/>
    <pivotField numFmtId="167" showAll="0"/>
    <pivotField showAll="0">
      <items count="4">
        <item x="0"/>
        <item x="1"/>
        <item m="1" x="2"/>
        <item t="default"/>
      </items>
    </pivotField>
    <pivotField showAll="0">
      <items count="40">
        <item x="6"/>
        <item m="1" x="28"/>
        <item m="1" x="16"/>
        <item m="1" x="38"/>
        <item x="9"/>
        <item m="1" x="14"/>
        <item m="1" x="20"/>
        <item m="1" x="19"/>
        <item x="2"/>
        <item x="4"/>
        <item x="7"/>
        <item m="1" x="24"/>
        <item m="1" x="35"/>
        <item m="1" x="30"/>
        <item m="1" x="23"/>
        <item m="1" x="36"/>
        <item m="1" x="22"/>
        <item x="0"/>
        <item m="1" x="13"/>
        <item m="1" x="37"/>
        <item m="1" x="26"/>
        <item x="8"/>
        <item m="1" x="15"/>
        <item m="1" x="33"/>
        <item m="1" x="21"/>
        <item m="1" x="25"/>
        <item m="1" x="27"/>
        <item x="5"/>
        <item m="1" x="11"/>
        <item x="1"/>
        <item m="1" x="12"/>
        <item x="3"/>
        <item m="1" x="10"/>
        <item m="1" x="29"/>
        <item m="1" x="31"/>
        <item m="1" x="34"/>
        <item m="1" x="17"/>
        <item m="1" x="18"/>
        <item m="1" x="32"/>
        <item t="default"/>
      </items>
    </pivotField>
    <pivotField showAll="0">
      <items count="103">
        <item m="1" x="100"/>
        <item m="1" x="57"/>
        <item m="1" x="38"/>
        <item m="1" x="37"/>
        <item m="1" x="15"/>
        <item m="1" x="17"/>
        <item m="1" x="26"/>
        <item m="1" x="41"/>
        <item x="0"/>
        <item m="1" x="23"/>
        <item m="1" x="81"/>
        <item m="1" x="64"/>
        <item m="1" x="10"/>
        <item m="1" x="18"/>
        <item m="1" x="31"/>
        <item m="1" x="70"/>
        <item m="1" x="30"/>
        <item m="1" x="55"/>
        <item m="1" x="59"/>
        <item m="1" x="34"/>
        <item m="1" x="90"/>
        <item m="1" x="82"/>
        <item m="1" x="98"/>
        <item m="1" x="96"/>
        <item m="1" x="47"/>
        <item m="1" x="79"/>
        <item m="1" x="33"/>
        <item m="1" x="68"/>
        <item m="1" x="32"/>
        <item m="1" x="91"/>
        <item m="1" x="93"/>
        <item m="1" x="74"/>
        <item m="1" x="60"/>
        <item m="1" x="52"/>
        <item m="1" x="76"/>
        <item m="1" x="24"/>
        <item m="1" x="72"/>
        <item m="1" x="42"/>
        <item m="1" x="78"/>
        <item m="1" x="29"/>
        <item m="1" x="92"/>
        <item m="1" x="48"/>
        <item x="3"/>
        <item m="1" x="44"/>
        <item m="1" x="50"/>
        <item m="1" x="19"/>
        <item m="1" x="77"/>
        <item m="1" x="58"/>
        <item m="1" x="88"/>
        <item x="2"/>
        <item m="1" x="95"/>
        <item m="1" x="62"/>
        <item m="1" x="69"/>
        <item x="7"/>
        <item m="1" x="22"/>
        <item x="4"/>
        <item m="1" x="25"/>
        <item m="1" x="45"/>
        <item x="1"/>
        <item m="1" x="75"/>
        <item m="1" x="28"/>
        <item m="1" x="84"/>
        <item m="1" x="51"/>
        <item m="1" x="12"/>
        <item m="1" x="40"/>
        <item m="1" x="16"/>
        <item m="1" x="61"/>
        <item m="1" x="43"/>
        <item m="1" x="65"/>
        <item m="1" x="71"/>
        <item m="1" x="86"/>
        <item m="1" x="14"/>
        <item m="1" x="63"/>
        <item m="1" x="97"/>
        <item x="5"/>
        <item m="1" x="89"/>
        <item m="1" x="80"/>
        <item m="1" x="99"/>
        <item m="1" x="11"/>
        <item m="1" x="49"/>
        <item x="6"/>
        <item m="1" x="46"/>
        <item m="1" x="53"/>
        <item m="1" x="21"/>
        <item m="1" x="101"/>
        <item m="1" x="83"/>
        <item m="1" x="66"/>
        <item m="1" x="36"/>
        <item m="1" x="20"/>
        <item m="1" x="94"/>
        <item m="1" x="56"/>
        <item m="1" x="54"/>
        <item m="1" x="39"/>
        <item m="1" x="87"/>
        <item m="1" x="27"/>
        <item x="8"/>
        <item m="1" x="13"/>
        <item m="1" x="85"/>
        <item m="1" x="73"/>
        <item m="1" x="67"/>
        <item x="9"/>
        <item m="1" x="35"/>
        <item t="default"/>
      </items>
    </pivotField>
    <pivotField numFmtId="14" showAll="0"/>
    <pivotField showAll="0"/>
    <pivotField showAll="0"/>
    <pivotField dataField="1" numFmtId="1" showAll="0"/>
    <pivotField showAll="0"/>
    <pivotField showAll="0">
      <items count="34">
        <item m="1" x="13"/>
        <item x="0"/>
        <item m="1" x="12"/>
        <item m="1" x="14"/>
        <item m="1" x="20"/>
        <item m="1" x="9"/>
        <item m="1" x="23"/>
        <item x="1"/>
        <item m="1" x="16"/>
        <item m="1" x="21"/>
        <item m="1" x="11"/>
        <item m="1" x="8"/>
        <item m="1" x="24"/>
        <item x="2"/>
        <item m="1" x="18"/>
        <item m="1" x="4"/>
        <item m="1" x="22"/>
        <item m="1" x="7"/>
        <item m="1" x="26"/>
        <item x="3"/>
        <item m="1" x="28"/>
        <item m="1" x="17"/>
        <item m="1" x="29"/>
        <item m="1" x="15"/>
        <item m="1" x="19"/>
        <item m="1" x="6"/>
        <item m="1" x="30"/>
        <item m="1" x="5"/>
        <item m="1" x="25"/>
        <item m="1" x="27"/>
        <item m="1" x="10"/>
        <item m="1" x="32"/>
        <item m="1" x="31"/>
        <item t="default"/>
      </items>
    </pivotField>
    <pivotField showAll="0"/>
    <pivotField numFmtId="49" showAll="0"/>
    <pivotField showAll="0" defaultSubtotal="0"/>
  </pivotFields>
  <rowItems count="1">
    <i/>
  </rowItems>
  <colItems count="1">
    <i/>
  </colItems>
  <dataFields count="1">
    <dataField name="Media di ANZIANITA'_AZIEN" fld="10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SESSO" xr10:uid="{00000000-0013-0000-FFFF-FFFF01000000}" sourceName="SESSO">
  <pivotTables>
    <pivotTable tabId="13" name="Tabella pivot2"/>
    <pivotTable tabId="15" name="Tabella pivot4"/>
    <pivotTable tabId="15" name="Tabella pivot6"/>
    <pivotTable tabId="13" name="Tabella pivot8"/>
    <pivotTable tabId="13" name="Tabella pivot3"/>
    <pivotTable tabId="13" name="Tabella pivot17"/>
  </pivotTables>
  <data>
    <tabular pivotCacheId="837095938">
      <items count="3">
        <i x="0" s="1"/>
        <i x="1" s="1"/>
        <i x="2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LIVELLO" xr10:uid="{00000000-0013-0000-FFFF-FFFF02000000}" sourceName="LIVELLO">
  <pivotTables>
    <pivotTable tabId="13" name="Tabella pivot8"/>
    <pivotTable tabId="15" name="Tabella pivot4"/>
    <pivotTable tabId="15" name="Tabella pivot6"/>
    <pivotTable tabId="13" name="Tabella pivot2"/>
    <pivotTable tabId="13" name="Tabella pivot3"/>
    <pivotTable tabId="13" name="Tabella pivot17"/>
  </pivotTables>
  <data>
    <tabular pivotCacheId="837095938">
      <items count="33">
        <i x="0" s="1"/>
        <i x="1" s="1"/>
        <i x="2" s="1"/>
        <i x="3" s="1"/>
        <i x="13" s="1" nd="1"/>
        <i x="12" s="1" nd="1"/>
        <i x="14" s="1" nd="1"/>
        <i x="20" s="1" nd="1"/>
        <i x="9" s="1" nd="1"/>
        <i x="23" s="1" nd="1"/>
        <i x="16" s="1" nd="1"/>
        <i x="21" s="1" nd="1"/>
        <i x="11" s="1" nd="1"/>
        <i x="8" s="1" nd="1"/>
        <i x="24" s="1" nd="1"/>
        <i x="18" s="1" nd="1"/>
        <i x="4" s="1" nd="1"/>
        <i x="22" s="1" nd="1"/>
        <i x="7" s="1" nd="1"/>
        <i x="26" s="1" nd="1"/>
        <i x="28" s="1" nd="1"/>
        <i x="17" s="1" nd="1"/>
        <i x="29" s="1" nd="1"/>
        <i x="15" s="1" nd="1"/>
        <i x="19" s="1" nd="1"/>
        <i x="6" s="1" nd="1"/>
        <i x="30" s="1" nd="1"/>
        <i x="5" s="1" nd="1"/>
        <i x="25" s="1" nd="1"/>
        <i x="27" s="1" nd="1"/>
        <i x="10" s="1" nd="1"/>
        <i x="32" s="1" nd="1"/>
        <i x="3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REPARTO" xr10:uid="{00000000-0013-0000-FFFF-FFFF03000000}" sourceName="REPARTO">
  <pivotTables>
    <pivotTable tabId="13" name="Tabella pivot8"/>
    <pivotTable tabId="15" name="Tabella pivot4"/>
    <pivotTable tabId="15" name="Tabella pivot6"/>
    <pivotTable tabId="13" name="Tabella pivot2"/>
    <pivotTable tabId="13" name="Tabella pivot3"/>
    <pivotTable tabId="13" name="Tabella pivot17"/>
  </pivotTables>
  <data>
    <tabular pivotCacheId="837095938">
      <items count="102">
        <i x="0" s="1"/>
        <i x="3" s="1"/>
        <i x="2" s="1"/>
        <i x="7" s="1"/>
        <i x="4" s="1"/>
        <i x="1" s="1"/>
        <i x="5" s="1"/>
        <i x="6" s="1"/>
        <i x="8" s="1"/>
        <i x="9" s="1"/>
        <i x="100" s="1" nd="1"/>
        <i x="57" s="1" nd="1"/>
        <i x="38" s="1" nd="1"/>
        <i x="37" s="1" nd="1"/>
        <i x="15" s="1" nd="1"/>
        <i x="17" s="1" nd="1"/>
        <i x="26" s="1" nd="1"/>
        <i x="41" s="1" nd="1"/>
        <i x="23" s="1" nd="1"/>
        <i x="81" s="1" nd="1"/>
        <i x="64" s="1" nd="1"/>
        <i x="10" s="1" nd="1"/>
        <i x="18" s="1" nd="1"/>
        <i x="31" s="1" nd="1"/>
        <i x="70" s="1" nd="1"/>
        <i x="30" s="1" nd="1"/>
        <i x="55" s="1" nd="1"/>
        <i x="59" s="1" nd="1"/>
        <i x="34" s="1" nd="1"/>
        <i x="90" s="1" nd="1"/>
        <i x="82" s="1" nd="1"/>
        <i x="98" s="1" nd="1"/>
        <i x="96" s="1" nd="1"/>
        <i x="47" s="1" nd="1"/>
        <i x="79" s="1" nd="1"/>
        <i x="33" s="1" nd="1"/>
        <i x="68" s="1" nd="1"/>
        <i x="32" s="1" nd="1"/>
        <i x="91" s="1" nd="1"/>
        <i x="93" s="1" nd="1"/>
        <i x="74" s="1" nd="1"/>
        <i x="60" s="1" nd="1"/>
        <i x="52" s="1" nd="1"/>
        <i x="76" s="1" nd="1"/>
        <i x="24" s="1" nd="1"/>
        <i x="72" s="1" nd="1"/>
        <i x="42" s="1" nd="1"/>
        <i x="78" s="1" nd="1"/>
        <i x="29" s="1" nd="1"/>
        <i x="92" s="1" nd="1"/>
        <i x="48" s="1" nd="1"/>
        <i x="44" s="1" nd="1"/>
        <i x="50" s="1" nd="1"/>
        <i x="19" s="1" nd="1"/>
        <i x="77" s="1" nd="1"/>
        <i x="58" s="1" nd="1"/>
        <i x="88" s="1" nd="1"/>
        <i x="95" s="1" nd="1"/>
        <i x="62" s="1" nd="1"/>
        <i x="69" s="1" nd="1"/>
        <i x="22" s="1" nd="1"/>
        <i x="25" s="1" nd="1"/>
        <i x="45" s="1" nd="1"/>
        <i x="75" s="1" nd="1"/>
        <i x="28" s="1" nd="1"/>
        <i x="84" s="1" nd="1"/>
        <i x="51" s="1" nd="1"/>
        <i x="12" s="1" nd="1"/>
        <i x="40" s="1" nd="1"/>
        <i x="16" s="1" nd="1"/>
        <i x="61" s="1" nd="1"/>
        <i x="43" s="1" nd="1"/>
        <i x="65" s="1" nd="1"/>
        <i x="71" s="1" nd="1"/>
        <i x="86" s="1" nd="1"/>
        <i x="14" s="1" nd="1"/>
        <i x="63" s="1" nd="1"/>
        <i x="97" s="1" nd="1"/>
        <i x="89" s="1" nd="1"/>
        <i x="80" s="1" nd="1"/>
        <i x="99" s="1" nd="1"/>
        <i x="11" s="1" nd="1"/>
        <i x="49" s="1" nd="1"/>
        <i x="46" s="1" nd="1"/>
        <i x="53" s="1" nd="1"/>
        <i x="21" s="1" nd="1"/>
        <i x="101" s="1" nd="1"/>
        <i x="83" s="1" nd="1"/>
        <i x="66" s="1" nd="1"/>
        <i x="36" s="1" nd="1"/>
        <i x="20" s="1" nd="1"/>
        <i x="94" s="1" nd="1"/>
        <i x="56" s="1" nd="1"/>
        <i x="54" s="1" nd="1"/>
        <i x="39" s="1" nd="1"/>
        <i x="87" s="1" nd="1"/>
        <i x="27" s="1" nd="1"/>
        <i x="13" s="1" nd="1"/>
        <i x="85" s="1" nd="1"/>
        <i x="73" s="1" nd="1"/>
        <i x="67" s="1" nd="1"/>
        <i x="35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iltroDati_QUALIFICA" xr10:uid="{00000000-0013-0000-FFFF-FFFF04000000}" sourceName="QUALIFICA">
  <pivotTables>
    <pivotTable tabId="13" name="Tabella pivot8"/>
    <pivotTable tabId="13" name="Tabella pivot2"/>
    <pivotTable tabId="15" name="Tabella pivot4"/>
    <pivotTable tabId="15" name="Tabella pivot6"/>
    <pivotTable tabId="13" name="Tabella pivot3"/>
    <pivotTable tabId="13" name="Tabella pivot17"/>
  </pivotTables>
  <data>
    <tabular pivotCacheId="837095938">
      <items count="39">
        <i x="6" s="1"/>
        <i x="9" s="1"/>
        <i x="2" s="1"/>
        <i x="4" s="1"/>
        <i x="7" s="1"/>
        <i x="0" s="1"/>
        <i x="8" s="1"/>
        <i x="5" s="1"/>
        <i x="1" s="1"/>
        <i x="3" s="1"/>
        <i x="28" s="1" nd="1"/>
        <i x="16" s="1" nd="1"/>
        <i x="38" s="1" nd="1"/>
        <i x="14" s="1" nd="1"/>
        <i x="20" s="1" nd="1"/>
        <i x="19" s="1" nd="1"/>
        <i x="24" s="1" nd="1"/>
        <i x="35" s="1" nd="1"/>
        <i x="30" s="1" nd="1"/>
        <i x="23" s="1" nd="1"/>
        <i x="36" s="1" nd="1"/>
        <i x="22" s="1" nd="1"/>
        <i x="13" s="1" nd="1"/>
        <i x="37" s="1" nd="1"/>
        <i x="26" s="1" nd="1"/>
        <i x="15" s="1" nd="1"/>
        <i x="33" s="1" nd="1"/>
        <i x="21" s="1" nd="1"/>
        <i x="25" s="1" nd="1"/>
        <i x="27" s="1" nd="1"/>
        <i x="11" s="1" nd="1"/>
        <i x="12" s="1" nd="1"/>
        <i x="10" s="1" nd="1"/>
        <i x="29" s="1" nd="1"/>
        <i x="31" s="1" nd="1"/>
        <i x="34" s="1" nd="1"/>
        <i x="17" s="1" nd="1"/>
        <i x="18" s="1" nd="1"/>
        <i x="32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ESSO" xr10:uid="{00000000-0014-0000-FFFF-FFFF06000000}" cache="FiltroDati_SESSO" caption="SESSO" rowHeight="257175"/>
  <slicer name="LIVELLO" xr10:uid="{00000000-0014-0000-FFFF-FFFF07000000}" cache="FiltroDati_LIVELLO" caption="LIVELLO" rowHeight="257175"/>
  <slicer name="REPARTO" xr10:uid="{00000000-0014-0000-FFFF-FFFF08000000}" cache="FiltroDati_REPARTO" caption="REPARTO" rowHeight="257175"/>
  <slicer name="QUALIFICA" xr10:uid="{00000000-0014-0000-FFFF-FFFF09000000}" cache="FiltroDati_QUALIFICA" caption="QUALIFICA" startItem="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pendenti" displayName="Dipendenti" ref="A1:P101" totalsRowShown="0" headerRowDxfId="25" dataDxfId="24">
  <autoFilter ref="A1:P101" xr:uid="{00000000-0009-0000-0100-000001000000}"/>
  <sortState xmlns:xlrd2="http://schemas.microsoft.com/office/spreadsheetml/2017/richdata2" ref="A2:P101">
    <sortCondition ref="A2:A101"/>
  </sortState>
  <tableColumns count="16">
    <tableColumn id="1" xr3:uid="{00000000-0010-0000-0000-000001000000}" name="DIPENDENTE" dataDxfId="23"/>
    <tableColumn id="2" xr3:uid="{00000000-0010-0000-0000-000002000000}" name="CODICE FISCALE" dataDxfId="22"/>
    <tableColumn id="3" xr3:uid="{00000000-0010-0000-0000-000003000000}" name="DATA_NASCITA" dataDxfId="21"/>
    <tableColumn id="4" xr3:uid="{00000000-0010-0000-0000-000004000000}" name="ETA'" dataDxfId="20" dataCellStyle="Migliaia">
      <calculatedColumnFormula>YEAR(TODAY())-YEAR($C2)-IF(TODAY()&lt;DATE(YEAR(TODAY()),MONTH($C2),DAY($C2)),1,0)</calculatedColumnFormula>
    </tableColumn>
    <tableColumn id="15" xr3:uid="{00000000-0010-0000-0000-00000F000000}" name="SESSO" dataDxfId="19"/>
    <tableColumn id="7" xr3:uid="{00000000-0010-0000-0000-000007000000}" name="QUALIFICA" dataDxfId="18"/>
    <tableColumn id="8" xr3:uid="{00000000-0010-0000-0000-000008000000}" name="REPARTO" dataDxfId="17"/>
    <tableColumn id="9" xr3:uid="{00000000-0010-0000-0000-000009000000}" name="DATA_ASSUNZIONE" dataDxfId="16"/>
    <tableColumn id="10" xr3:uid="{00000000-0010-0000-0000-00000A000000}" name="DATA_SCADENZA" dataDxfId="15"/>
    <tableColumn id="11" xr3:uid="{00000000-0010-0000-0000-00000B000000}" name="DATA_CESSAZIONE" dataDxfId="14"/>
    <tableColumn id="16" xr3:uid="{00000000-0010-0000-0000-000010000000}" name="ANZIANITA'_AZIEN" dataDxfId="13">
      <calculatedColumnFormula>YEAR(TODAY())-YEAR($H2)-IF(TODAY()&lt;DATE(YEAR(TODAY()),MONTH($H2),DAY($H2)),1,0)</calculatedColumnFormula>
    </tableColumn>
    <tableColumn id="12" xr3:uid="{00000000-0010-0000-0000-00000C000000}" name="TIPO_CONTRATTO" dataDxfId="12"/>
    <tableColumn id="13" xr3:uid="{00000000-0010-0000-0000-00000D000000}" name="LIVELLO" dataDxfId="11"/>
    <tableColumn id="17" xr3:uid="{00000000-0010-0000-0000-000011000000}" name="FAMIGLIA_PROF" dataDxfId="10"/>
    <tableColumn id="14" xr3:uid="{00000000-0010-0000-0000-00000E000000}" name="ORE CONTRATTO" dataDxfId="9"/>
    <tableColumn id="18" xr3:uid="{00000000-0010-0000-0000-000012000000}" name="FTE" dataDxfId="8" dataCellStyle="Percentuale">
      <calculatedColumnFormula>IF(O2&lt;=0,0,O2/36)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1"/>
  <dimension ref="A1:Y105"/>
  <sheetViews>
    <sheetView zoomScaleNormal="100" workbookViewId="0">
      <pane xSplit="1" topLeftCell="B1" activePane="topRight" state="frozen"/>
      <selection pane="topRight" activeCell="F14" sqref="F14"/>
    </sheetView>
  </sheetViews>
  <sheetFormatPr defaultColWidth="9" defaultRowHeight="13.5" x14ac:dyDescent="0.25"/>
  <cols>
    <col min="1" max="1" width="21" style="54" bestFit="1" customWidth="1"/>
    <col min="2" max="2" width="21" style="54" customWidth="1"/>
    <col min="3" max="3" width="19.140625" style="57" customWidth="1"/>
    <col min="4" max="4" width="9.28515625" style="54" customWidth="1"/>
    <col min="5" max="5" width="11.5703125" style="54" customWidth="1"/>
    <col min="6" max="6" width="18.140625" style="54" bestFit="1" customWidth="1"/>
    <col min="7" max="7" width="16.140625" style="54" bestFit="1" customWidth="1"/>
    <col min="8" max="8" width="23.140625" style="57" bestFit="1" customWidth="1"/>
    <col min="9" max="9" width="21.140625" style="54" bestFit="1" customWidth="1"/>
    <col min="10" max="10" width="23" style="57" bestFit="1" customWidth="1"/>
    <col min="11" max="11" width="21.28515625" style="54" bestFit="1" customWidth="1"/>
    <col min="12" max="12" width="22" style="54" customWidth="1"/>
    <col min="13" max="13" width="21.42578125" style="54" customWidth="1"/>
    <col min="14" max="14" width="19.85546875" style="54" bestFit="1" customWidth="1"/>
    <col min="15" max="15" width="21.7109375" style="54" bestFit="1" customWidth="1"/>
    <col min="16" max="16" width="21.140625" style="56" customWidth="1"/>
    <col min="17" max="24" width="9" style="54"/>
    <col min="25" max="25" width="9.140625" style="55"/>
    <col min="26" max="16384" width="9" style="54"/>
  </cols>
  <sheetData>
    <row r="1" spans="1:25" ht="15" x14ac:dyDescent="0.25">
      <c r="A1" s="59" t="s">
        <v>0</v>
      </c>
      <c r="B1" s="59" t="s">
        <v>24</v>
      </c>
      <c r="C1" s="60" t="s">
        <v>17</v>
      </c>
      <c r="D1" s="59" t="s">
        <v>23</v>
      </c>
      <c r="E1" s="59" t="s">
        <v>15</v>
      </c>
      <c r="F1" s="59" t="s">
        <v>16</v>
      </c>
      <c r="G1" s="59" t="s">
        <v>11</v>
      </c>
      <c r="H1" s="60" t="s">
        <v>13</v>
      </c>
      <c r="I1" s="66" t="s">
        <v>366</v>
      </c>
      <c r="J1" s="67" t="s">
        <v>367</v>
      </c>
      <c r="K1" s="59" t="s">
        <v>36</v>
      </c>
      <c r="L1" s="59" t="s">
        <v>12</v>
      </c>
      <c r="M1" s="59" t="s">
        <v>21</v>
      </c>
      <c r="N1" s="59" t="s">
        <v>40</v>
      </c>
      <c r="O1" s="59" t="s">
        <v>20</v>
      </c>
      <c r="P1" s="61" t="s">
        <v>46</v>
      </c>
    </row>
    <row r="2" spans="1:25" ht="15" x14ac:dyDescent="0.25">
      <c r="A2" t="s">
        <v>139</v>
      </c>
      <c r="B2" t="s">
        <v>239</v>
      </c>
      <c r="C2" t="s">
        <v>338</v>
      </c>
      <c r="D2" s="64">
        <f t="shared" ref="D2:D33" ca="1" si="0">YEAR(TODAY())-YEAR($C2)-IF(TODAY()&lt;DATE(YEAR(TODAY()),MONTH($C2),DAY($C2)),1,0)</f>
        <v>46</v>
      </c>
      <c r="E2" t="s">
        <v>30</v>
      </c>
      <c r="F2" t="s">
        <v>350</v>
      </c>
      <c r="G2" t="s">
        <v>363</v>
      </c>
      <c r="H2" s="63">
        <v>44013</v>
      </c>
      <c r="I2" s="62"/>
      <c r="J2" s="63"/>
      <c r="K2" s="65">
        <f t="shared" ref="K2:K33" ca="1" si="1">YEAR(TODAY())-YEAR($H2)-IF(TODAY()&lt;DATE(YEAR(TODAY()),MONTH($H2),DAY($H2)),1,0)</f>
        <v>4</v>
      </c>
      <c r="L2" t="s">
        <v>368</v>
      </c>
      <c r="M2" t="s">
        <v>373</v>
      </c>
      <c r="N2" t="s">
        <v>371</v>
      </c>
      <c r="O2" s="62">
        <v>36</v>
      </c>
      <c r="P2" s="68">
        <f t="shared" ref="P2:P33" si="2">IF(O2&lt;=0,0,O2/36)</f>
        <v>1</v>
      </c>
      <c r="Y2" s="55" t="str">
        <f>IF(Riepilogo!$B$1="", "", IF(ISNUMBER(SEARCH(Riepilogo!$B$1, A2)), ROW(), ""))</f>
        <v/>
      </c>
    </row>
    <row r="3" spans="1:25" ht="15" x14ac:dyDescent="0.25">
      <c r="A3" t="s">
        <v>119</v>
      </c>
      <c r="B3" t="s">
        <v>212</v>
      </c>
      <c r="C3" t="s">
        <v>311</v>
      </c>
      <c r="D3" s="64">
        <f t="shared" ca="1" si="0"/>
        <v>57</v>
      </c>
      <c r="E3" t="s">
        <v>30</v>
      </c>
      <c r="F3" t="s">
        <v>353</v>
      </c>
      <c r="G3" t="s">
        <v>27</v>
      </c>
      <c r="H3" s="63">
        <v>42646</v>
      </c>
      <c r="I3" s="62"/>
      <c r="J3" s="63"/>
      <c r="K3" s="65">
        <f t="shared" ca="1" si="1"/>
        <v>8</v>
      </c>
      <c r="L3" t="s">
        <v>372</v>
      </c>
      <c r="M3" t="s">
        <v>373</v>
      </c>
      <c r="N3" t="s">
        <v>48</v>
      </c>
      <c r="O3" s="62">
        <v>36</v>
      </c>
      <c r="P3" s="68">
        <f t="shared" si="2"/>
        <v>1</v>
      </c>
      <c r="Y3" s="55" t="str">
        <f>IF(Riepilogo!$B$1="", "", IF(ISNUMBER(SEARCH(Riepilogo!$B$1, A3)), ROW(), ""))</f>
        <v/>
      </c>
    </row>
    <row r="4" spans="1:25" ht="15" x14ac:dyDescent="0.25">
      <c r="A4" t="s">
        <v>146</v>
      </c>
      <c r="B4" t="s">
        <v>246</v>
      </c>
      <c r="C4" t="s">
        <v>345</v>
      </c>
      <c r="D4" s="64">
        <f t="shared" ca="1" si="0"/>
        <v>36</v>
      </c>
      <c r="E4" t="s">
        <v>30</v>
      </c>
      <c r="F4" t="s">
        <v>350</v>
      </c>
      <c r="G4" t="s">
        <v>354</v>
      </c>
      <c r="H4" s="63">
        <v>43983</v>
      </c>
      <c r="I4" s="62"/>
      <c r="J4" s="63"/>
      <c r="K4" s="65">
        <f t="shared" ca="1" si="1"/>
        <v>4</v>
      </c>
      <c r="L4" t="s">
        <v>368</v>
      </c>
      <c r="M4" t="s">
        <v>373</v>
      </c>
      <c r="N4" t="s">
        <v>369</v>
      </c>
      <c r="O4" s="62">
        <v>36</v>
      </c>
      <c r="P4" s="68">
        <f t="shared" si="2"/>
        <v>1</v>
      </c>
      <c r="Y4" s="55" t="str">
        <f>IF(Riepilogo!$B$1="", "", IF(ISNUMBER(SEARCH(Riepilogo!$B$1, A4)), ROW(), ""))</f>
        <v/>
      </c>
    </row>
    <row r="5" spans="1:25" ht="15" x14ac:dyDescent="0.25">
      <c r="A5" t="s">
        <v>80</v>
      </c>
      <c r="B5" t="s">
        <v>166</v>
      </c>
      <c r="C5" t="s">
        <v>266</v>
      </c>
      <c r="D5" s="64">
        <f t="shared" ca="1" si="0"/>
        <v>47</v>
      </c>
      <c r="E5" t="s">
        <v>30</v>
      </c>
      <c r="F5" t="s">
        <v>349</v>
      </c>
      <c r="G5" t="s">
        <v>25</v>
      </c>
      <c r="H5" s="63">
        <v>40210</v>
      </c>
      <c r="I5" s="62"/>
      <c r="J5" s="63"/>
      <c r="K5" s="65">
        <f t="shared" ca="1" si="1"/>
        <v>15</v>
      </c>
      <c r="L5" t="s">
        <v>368</v>
      </c>
      <c r="M5" t="s">
        <v>18</v>
      </c>
      <c r="N5" t="s">
        <v>369</v>
      </c>
      <c r="O5" s="62">
        <v>25</v>
      </c>
      <c r="P5" s="68">
        <f t="shared" si="2"/>
        <v>0.69444444444444442</v>
      </c>
      <c r="Y5" s="55" t="str">
        <f>IF(Riepilogo!$B$1="", "", IF(ISNUMBER(SEARCH(Riepilogo!$B$1, A5)), ROW(), ""))</f>
        <v/>
      </c>
    </row>
    <row r="6" spans="1:25" ht="15" x14ac:dyDescent="0.25">
      <c r="A6" t="s">
        <v>374</v>
      </c>
      <c r="B6" t="s">
        <v>224</v>
      </c>
      <c r="C6" t="s">
        <v>323</v>
      </c>
      <c r="D6" s="64">
        <f t="shared" ca="1" si="0"/>
        <v>60</v>
      </c>
      <c r="E6" t="s">
        <v>30</v>
      </c>
      <c r="F6" t="s">
        <v>361</v>
      </c>
      <c r="G6" t="s">
        <v>26</v>
      </c>
      <c r="H6" s="63">
        <v>43867</v>
      </c>
      <c r="I6" s="62"/>
      <c r="J6" s="63"/>
      <c r="K6" s="65">
        <f t="shared" ca="1" si="1"/>
        <v>5</v>
      </c>
      <c r="L6" t="s">
        <v>368</v>
      </c>
      <c r="M6" t="s">
        <v>19</v>
      </c>
      <c r="N6" t="s">
        <v>48</v>
      </c>
      <c r="O6" s="62">
        <v>30</v>
      </c>
      <c r="P6" s="68">
        <f t="shared" si="2"/>
        <v>0.83333333333333337</v>
      </c>
      <c r="Y6" s="55" t="str">
        <f>IF(Riepilogo!$B$1="", "", IF(ISNUMBER(SEARCH(Riepilogo!$B$1, A6)), ROW(), ""))</f>
        <v/>
      </c>
    </row>
    <row r="7" spans="1:25" ht="15" x14ac:dyDescent="0.25">
      <c r="A7" t="s">
        <v>99</v>
      </c>
      <c r="B7" t="s">
        <v>187</v>
      </c>
      <c r="C7" t="s">
        <v>287</v>
      </c>
      <c r="D7" s="64">
        <f t="shared" ca="1" si="0"/>
        <v>33</v>
      </c>
      <c r="E7" t="s">
        <v>30</v>
      </c>
      <c r="F7" t="s">
        <v>360</v>
      </c>
      <c r="G7" t="s">
        <v>358</v>
      </c>
      <c r="H7" s="63">
        <v>45716</v>
      </c>
      <c r="I7" s="62"/>
      <c r="J7" s="63"/>
      <c r="K7" s="65">
        <f t="shared" ca="1" si="1"/>
        <v>0</v>
      </c>
      <c r="L7" t="s">
        <v>372</v>
      </c>
      <c r="M7" t="s">
        <v>19</v>
      </c>
      <c r="N7" t="s">
        <v>48</v>
      </c>
      <c r="O7" s="62">
        <v>25</v>
      </c>
      <c r="P7" s="68">
        <f t="shared" si="2"/>
        <v>0.69444444444444442</v>
      </c>
      <c r="Y7" s="55" t="str">
        <f>IF(Riepilogo!$B$1="", "", IF(ISNUMBER(SEARCH(Riepilogo!$B$1, A7)), ROW(), ""))</f>
        <v/>
      </c>
    </row>
    <row r="8" spans="1:25" ht="15" x14ac:dyDescent="0.25">
      <c r="A8" t="s">
        <v>375</v>
      </c>
      <c r="B8" t="s">
        <v>190</v>
      </c>
      <c r="C8" t="s">
        <v>289</v>
      </c>
      <c r="D8" s="64">
        <f t="shared" ca="1" si="0"/>
        <v>55</v>
      </c>
      <c r="E8" t="s">
        <v>30</v>
      </c>
      <c r="F8" t="s">
        <v>350</v>
      </c>
      <c r="G8" t="s">
        <v>358</v>
      </c>
      <c r="H8" s="63">
        <v>45566</v>
      </c>
      <c r="I8" s="62"/>
      <c r="J8" s="63"/>
      <c r="K8" s="65">
        <f t="shared" ca="1" si="1"/>
        <v>0</v>
      </c>
      <c r="L8" t="s">
        <v>372</v>
      </c>
      <c r="M8" t="s">
        <v>18</v>
      </c>
      <c r="N8" t="s">
        <v>369</v>
      </c>
      <c r="O8" s="62">
        <v>36</v>
      </c>
      <c r="P8" s="68">
        <f t="shared" si="2"/>
        <v>1</v>
      </c>
      <c r="R8" s="56"/>
      <c r="Y8" s="55" t="str">
        <f>IF(Riepilogo!$B$1="", "", IF(ISNUMBER(SEARCH(Riepilogo!$B$1, A8)), ROW(), ""))</f>
        <v/>
      </c>
    </row>
    <row r="9" spans="1:25" ht="15" x14ac:dyDescent="0.25">
      <c r="A9" t="s">
        <v>82</v>
      </c>
      <c r="B9" t="s">
        <v>168</v>
      </c>
      <c r="C9" t="s">
        <v>268</v>
      </c>
      <c r="D9" s="64">
        <f t="shared" ca="1" si="0"/>
        <v>37</v>
      </c>
      <c r="E9" t="s">
        <v>30</v>
      </c>
      <c r="F9" t="s">
        <v>361</v>
      </c>
      <c r="G9" t="s">
        <v>355</v>
      </c>
      <c r="H9" s="63">
        <v>45383</v>
      </c>
      <c r="I9" s="62"/>
      <c r="J9" s="63"/>
      <c r="K9" s="65">
        <f t="shared" ca="1" si="1"/>
        <v>1</v>
      </c>
      <c r="L9" t="s">
        <v>368</v>
      </c>
      <c r="M9" t="s">
        <v>19</v>
      </c>
      <c r="N9" t="s">
        <v>369</v>
      </c>
      <c r="O9" s="62">
        <v>36</v>
      </c>
      <c r="P9" s="68">
        <f t="shared" si="2"/>
        <v>1</v>
      </c>
      <c r="Y9" s="55" t="str">
        <f>IF(Riepilogo!$B$1="", "", IF(ISNUMBER(SEARCH(Riepilogo!$B$1, A9)), ROW(), ""))</f>
        <v/>
      </c>
    </row>
    <row r="10" spans="1:25" ht="15" x14ac:dyDescent="0.25">
      <c r="A10" t="s">
        <v>83</v>
      </c>
      <c r="B10" t="s">
        <v>170</v>
      </c>
      <c r="C10" t="s">
        <v>270</v>
      </c>
      <c r="D10" s="64">
        <f t="shared" ca="1" si="0"/>
        <v>51</v>
      </c>
      <c r="E10" t="s">
        <v>31</v>
      </c>
      <c r="F10" t="s">
        <v>349</v>
      </c>
      <c r="G10" t="s">
        <v>363</v>
      </c>
      <c r="H10" s="63">
        <v>44378</v>
      </c>
      <c r="I10" s="62"/>
      <c r="J10" s="63"/>
      <c r="K10" s="65">
        <f t="shared" ca="1" si="1"/>
        <v>3</v>
      </c>
      <c r="L10" t="s">
        <v>372</v>
      </c>
      <c r="M10" t="s">
        <v>19</v>
      </c>
      <c r="N10" t="s">
        <v>48</v>
      </c>
      <c r="O10" s="62">
        <v>36</v>
      </c>
      <c r="P10" s="68">
        <f t="shared" si="2"/>
        <v>1</v>
      </c>
      <c r="Y10" s="55" t="str">
        <f>IF(Riepilogo!$B$1="", "", IF(ISNUMBER(SEARCH(Riepilogo!$B$1, A10)), ROW(), ""))</f>
        <v/>
      </c>
    </row>
    <row r="11" spans="1:25" ht="15" x14ac:dyDescent="0.25">
      <c r="A11" t="s">
        <v>96</v>
      </c>
      <c r="B11" t="s">
        <v>184</v>
      </c>
      <c r="C11" t="s">
        <v>284</v>
      </c>
      <c r="D11" s="64">
        <f t="shared" ca="1" si="0"/>
        <v>27</v>
      </c>
      <c r="E11" t="s">
        <v>31</v>
      </c>
      <c r="F11" t="s">
        <v>361</v>
      </c>
      <c r="G11" t="s">
        <v>26</v>
      </c>
      <c r="H11" s="63">
        <v>45021</v>
      </c>
      <c r="I11" s="63"/>
      <c r="J11" s="63"/>
      <c r="K11" s="65">
        <f t="shared" ca="1" si="1"/>
        <v>2</v>
      </c>
      <c r="L11" t="s">
        <v>372</v>
      </c>
      <c r="M11" t="s">
        <v>370</v>
      </c>
      <c r="N11" t="s">
        <v>369</v>
      </c>
      <c r="O11" s="62">
        <v>36</v>
      </c>
      <c r="P11" s="68">
        <f t="shared" si="2"/>
        <v>1</v>
      </c>
      <c r="Y11" s="55" t="str">
        <f>IF(Riepilogo!$B$1="", "", IF(ISNUMBER(SEARCH(Riepilogo!$B$1, A11)), ROW(), ""))</f>
        <v/>
      </c>
    </row>
    <row r="12" spans="1:25" ht="15" x14ac:dyDescent="0.25">
      <c r="A12" t="s">
        <v>106</v>
      </c>
      <c r="B12" t="s">
        <v>196</v>
      </c>
      <c r="C12" t="s">
        <v>295</v>
      </c>
      <c r="D12" s="64">
        <f t="shared" ca="1" si="0"/>
        <v>33</v>
      </c>
      <c r="E12" t="s">
        <v>31</v>
      </c>
      <c r="F12" t="s">
        <v>361</v>
      </c>
      <c r="G12" t="s">
        <v>27</v>
      </c>
      <c r="H12" s="63">
        <v>44621</v>
      </c>
      <c r="I12" s="62"/>
      <c r="J12" s="63"/>
      <c r="K12" s="65">
        <f t="shared" ca="1" si="1"/>
        <v>3</v>
      </c>
      <c r="L12" t="s">
        <v>368</v>
      </c>
      <c r="M12" t="s">
        <v>370</v>
      </c>
      <c r="N12" t="s">
        <v>48</v>
      </c>
      <c r="O12" s="62">
        <v>30</v>
      </c>
      <c r="P12" s="68">
        <f t="shared" si="2"/>
        <v>0.83333333333333337</v>
      </c>
      <c r="Y12" s="55" t="str">
        <f>IF(Riepilogo!$B$1="", "", IF(ISNUMBER(SEARCH(Riepilogo!$B$1, A12)), ROW(), ""))</f>
        <v/>
      </c>
    </row>
    <row r="13" spans="1:25" ht="15" x14ac:dyDescent="0.25">
      <c r="A13" t="s">
        <v>76</v>
      </c>
      <c r="B13" t="s">
        <v>162</v>
      </c>
      <c r="C13" t="s">
        <v>262</v>
      </c>
      <c r="D13" s="64">
        <f t="shared" ca="1" si="0"/>
        <v>24</v>
      </c>
      <c r="E13" t="s">
        <v>31</v>
      </c>
      <c r="F13" t="s">
        <v>361</v>
      </c>
      <c r="G13" t="s">
        <v>354</v>
      </c>
      <c r="H13" s="63">
        <v>45709</v>
      </c>
      <c r="I13" s="62"/>
      <c r="J13" s="63"/>
      <c r="K13" s="65">
        <f t="shared" ca="1" si="1"/>
        <v>0</v>
      </c>
      <c r="L13" t="s">
        <v>372</v>
      </c>
      <c r="M13" t="s">
        <v>373</v>
      </c>
      <c r="N13" t="s">
        <v>371</v>
      </c>
      <c r="O13" s="62">
        <v>25</v>
      </c>
      <c r="P13" s="68">
        <f t="shared" si="2"/>
        <v>0.69444444444444442</v>
      </c>
      <c r="Y13" s="55" t="str">
        <f>IF(Riepilogo!$B$1="", "", IF(ISNUMBER(SEARCH(Riepilogo!$B$1, A13)), ROW(), ""))</f>
        <v/>
      </c>
    </row>
    <row r="14" spans="1:25" ht="15" x14ac:dyDescent="0.25">
      <c r="A14" t="s">
        <v>376</v>
      </c>
      <c r="B14" t="s">
        <v>188</v>
      </c>
      <c r="C14" t="s">
        <v>286</v>
      </c>
      <c r="D14" s="64">
        <f t="shared" ca="1" si="0"/>
        <v>33</v>
      </c>
      <c r="E14" t="s">
        <v>31</v>
      </c>
      <c r="F14" t="s">
        <v>349</v>
      </c>
      <c r="G14" t="s">
        <v>25</v>
      </c>
      <c r="H14" s="63">
        <v>42520</v>
      </c>
      <c r="I14" s="62"/>
      <c r="J14" s="63"/>
      <c r="K14" s="65">
        <f t="shared" ca="1" si="1"/>
        <v>8</v>
      </c>
      <c r="L14" t="s">
        <v>368</v>
      </c>
      <c r="M14" t="s">
        <v>373</v>
      </c>
      <c r="N14" t="s">
        <v>48</v>
      </c>
      <c r="O14" s="62">
        <v>25</v>
      </c>
      <c r="P14" s="68">
        <f t="shared" si="2"/>
        <v>0.69444444444444442</v>
      </c>
      <c r="Y14" s="55" t="str">
        <f>IF(Riepilogo!$B$1="", "", IF(ISNUMBER(SEARCH(Riepilogo!$B$1, A14)), ROW(), ""))</f>
        <v/>
      </c>
    </row>
    <row r="15" spans="1:25" ht="15" x14ac:dyDescent="0.25">
      <c r="A15" t="s">
        <v>110</v>
      </c>
      <c r="B15" t="s">
        <v>201</v>
      </c>
      <c r="C15" t="s">
        <v>300</v>
      </c>
      <c r="D15" s="64">
        <f t="shared" ca="1" si="0"/>
        <v>59</v>
      </c>
      <c r="E15" t="s">
        <v>31</v>
      </c>
      <c r="F15" t="s">
        <v>364</v>
      </c>
      <c r="G15" t="s">
        <v>26</v>
      </c>
      <c r="H15" s="63">
        <v>39923</v>
      </c>
      <c r="I15" s="62"/>
      <c r="J15" s="63"/>
      <c r="K15" s="65">
        <f t="shared" ca="1" si="1"/>
        <v>16</v>
      </c>
      <c r="L15" t="s">
        <v>372</v>
      </c>
      <c r="M15" t="s">
        <v>19</v>
      </c>
      <c r="N15" t="s">
        <v>371</v>
      </c>
      <c r="O15" s="62">
        <v>36</v>
      </c>
      <c r="P15" s="68">
        <f t="shared" si="2"/>
        <v>1</v>
      </c>
      <c r="Y15" s="55" t="str">
        <f>IF(Riepilogo!$B$1="", "", IF(ISNUMBER(SEARCH(Riepilogo!$B$1, A15)), ROW(), ""))</f>
        <v/>
      </c>
    </row>
    <row r="16" spans="1:25" ht="15" x14ac:dyDescent="0.25">
      <c r="A16" t="s">
        <v>115</v>
      </c>
      <c r="B16" t="s">
        <v>207</v>
      </c>
      <c r="C16" t="s">
        <v>306</v>
      </c>
      <c r="D16" s="64">
        <f t="shared" ca="1" si="0"/>
        <v>37</v>
      </c>
      <c r="E16" t="s">
        <v>31</v>
      </c>
      <c r="F16" t="s">
        <v>353</v>
      </c>
      <c r="G16" t="s">
        <v>358</v>
      </c>
      <c r="H16" s="63">
        <v>40315</v>
      </c>
      <c r="I16" s="62"/>
      <c r="J16" s="63"/>
      <c r="K16" s="65">
        <f t="shared" ca="1" si="1"/>
        <v>14</v>
      </c>
      <c r="L16" t="s">
        <v>372</v>
      </c>
      <c r="M16" t="s">
        <v>370</v>
      </c>
      <c r="N16" t="s">
        <v>371</v>
      </c>
      <c r="O16" s="62">
        <v>36</v>
      </c>
      <c r="P16" s="68">
        <f t="shared" si="2"/>
        <v>1</v>
      </c>
      <c r="Y16" s="55" t="str">
        <f>IF(Riepilogo!$B$1="", "", IF(ISNUMBER(SEARCH(Riepilogo!$B$1, A16)), ROW(), ""))</f>
        <v/>
      </c>
    </row>
    <row r="17" spans="1:25" ht="15" x14ac:dyDescent="0.25">
      <c r="A17" t="s">
        <v>104</v>
      </c>
      <c r="B17" t="s">
        <v>194</v>
      </c>
      <c r="C17" t="s">
        <v>293</v>
      </c>
      <c r="D17" s="64">
        <f t="shared" ca="1" si="0"/>
        <v>45</v>
      </c>
      <c r="E17" t="s">
        <v>31</v>
      </c>
      <c r="F17" t="s">
        <v>361</v>
      </c>
      <c r="G17" t="s">
        <v>355</v>
      </c>
      <c r="H17" s="63">
        <v>43922</v>
      </c>
      <c r="I17" s="62"/>
      <c r="J17" s="63"/>
      <c r="K17" s="65">
        <f t="shared" ca="1" si="1"/>
        <v>5</v>
      </c>
      <c r="L17" t="s">
        <v>368</v>
      </c>
      <c r="M17" t="s">
        <v>18</v>
      </c>
      <c r="N17" t="s">
        <v>371</v>
      </c>
      <c r="O17" s="62">
        <v>30</v>
      </c>
      <c r="P17" s="68">
        <f t="shared" si="2"/>
        <v>0.83333333333333337</v>
      </c>
      <c r="Y17" s="55" t="str">
        <f>IF(Riepilogo!$B$1="", "", IF(ISNUMBER(SEARCH(Riepilogo!$B$1, A17)), ROW(), ""))</f>
        <v/>
      </c>
    </row>
    <row r="18" spans="1:25" ht="15" x14ac:dyDescent="0.25">
      <c r="A18" t="s">
        <v>89</v>
      </c>
      <c r="B18" t="s">
        <v>177</v>
      </c>
      <c r="C18" t="s">
        <v>277</v>
      </c>
      <c r="D18" s="64">
        <f t="shared" ca="1" si="0"/>
        <v>54</v>
      </c>
      <c r="E18" t="s">
        <v>31</v>
      </c>
      <c r="F18" t="s">
        <v>360</v>
      </c>
      <c r="G18" t="s">
        <v>363</v>
      </c>
      <c r="H18" s="63">
        <v>44487</v>
      </c>
      <c r="I18" s="62"/>
      <c r="J18" s="63"/>
      <c r="K18" s="65">
        <f t="shared" ca="1" si="1"/>
        <v>3</v>
      </c>
      <c r="L18" t="s">
        <v>368</v>
      </c>
      <c r="M18" t="s">
        <v>19</v>
      </c>
      <c r="N18" t="s">
        <v>48</v>
      </c>
      <c r="O18" s="62">
        <v>36</v>
      </c>
      <c r="P18" s="68">
        <f t="shared" si="2"/>
        <v>1</v>
      </c>
      <c r="Y18" s="55" t="str">
        <f>IF(Riepilogo!$B$1="", "", IF(ISNUMBER(SEARCH(Riepilogo!$B$1, A18)), ROW(), ""))</f>
        <v/>
      </c>
    </row>
    <row r="19" spans="1:25" ht="15" x14ac:dyDescent="0.25">
      <c r="A19" t="s">
        <v>101</v>
      </c>
      <c r="B19" t="s">
        <v>191</v>
      </c>
      <c r="C19" t="s">
        <v>290</v>
      </c>
      <c r="D19" s="64">
        <f t="shared" ca="1" si="0"/>
        <v>38</v>
      </c>
      <c r="E19" t="s">
        <v>31</v>
      </c>
      <c r="F19" t="s">
        <v>364</v>
      </c>
      <c r="G19" t="s">
        <v>357</v>
      </c>
      <c r="H19" s="63">
        <v>44228</v>
      </c>
      <c r="I19" s="62"/>
      <c r="J19" s="63"/>
      <c r="K19" s="65">
        <f t="shared" ca="1" si="1"/>
        <v>4</v>
      </c>
      <c r="L19" t="s">
        <v>368</v>
      </c>
      <c r="M19" t="s">
        <v>19</v>
      </c>
      <c r="N19" t="s">
        <v>369</v>
      </c>
      <c r="O19" s="62">
        <v>36</v>
      </c>
      <c r="P19" s="68">
        <f t="shared" si="2"/>
        <v>1</v>
      </c>
      <c r="Y19" s="55" t="str">
        <f>IF(Riepilogo!$B$1="", "", IF(ISNUMBER(SEARCH(Riepilogo!$B$1, A19)), ROW(), ""))</f>
        <v/>
      </c>
    </row>
    <row r="20" spans="1:25" ht="15" x14ac:dyDescent="0.25">
      <c r="A20" t="s">
        <v>77</v>
      </c>
      <c r="B20" t="s">
        <v>163</v>
      </c>
      <c r="C20" t="s">
        <v>263</v>
      </c>
      <c r="D20" s="64">
        <f t="shared" ca="1" si="0"/>
        <v>22</v>
      </c>
      <c r="E20" t="s">
        <v>31</v>
      </c>
      <c r="F20" t="s">
        <v>361</v>
      </c>
      <c r="G20" t="s">
        <v>25</v>
      </c>
      <c r="H20" s="63">
        <v>37671</v>
      </c>
      <c r="I20" s="62"/>
      <c r="J20" s="63"/>
      <c r="K20" s="65">
        <f t="shared" ca="1" si="1"/>
        <v>22</v>
      </c>
      <c r="L20" t="s">
        <v>372</v>
      </c>
      <c r="M20" t="s">
        <v>370</v>
      </c>
      <c r="N20" t="s">
        <v>48</v>
      </c>
      <c r="O20" s="62">
        <v>30</v>
      </c>
      <c r="P20" s="68">
        <f t="shared" si="2"/>
        <v>0.83333333333333337</v>
      </c>
      <c r="Y20" s="55" t="str">
        <f>IF(Riepilogo!$B$1="", "", IF(ISNUMBER(SEARCH(Riepilogo!$B$1, A20)), ROW(), ""))</f>
        <v/>
      </c>
    </row>
    <row r="21" spans="1:25" ht="15" x14ac:dyDescent="0.25">
      <c r="A21" t="s">
        <v>147</v>
      </c>
      <c r="B21" t="s">
        <v>247</v>
      </c>
      <c r="C21" t="s">
        <v>346</v>
      </c>
      <c r="D21" s="64">
        <f t="shared" ca="1" si="0"/>
        <v>31</v>
      </c>
      <c r="E21" t="s">
        <v>31</v>
      </c>
      <c r="F21" t="s">
        <v>356</v>
      </c>
      <c r="G21" t="s">
        <v>351</v>
      </c>
      <c r="H21" s="63">
        <v>43971</v>
      </c>
      <c r="I21" s="62"/>
      <c r="J21" s="63"/>
      <c r="K21" s="65">
        <f t="shared" ca="1" si="1"/>
        <v>4</v>
      </c>
      <c r="L21" t="s">
        <v>372</v>
      </c>
      <c r="M21" t="s">
        <v>18</v>
      </c>
      <c r="N21" t="s">
        <v>48</v>
      </c>
      <c r="O21" s="62">
        <v>36</v>
      </c>
      <c r="P21" s="68">
        <f t="shared" si="2"/>
        <v>1</v>
      </c>
      <c r="Y21" s="55" t="str">
        <f>IF(Riepilogo!$B$1="", "", IF(ISNUMBER(SEARCH(Riepilogo!$B$1, A21)), ROW(), ""))</f>
        <v/>
      </c>
    </row>
    <row r="22" spans="1:25" ht="15" x14ac:dyDescent="0.25">
      <c r="A22" t="s">
        <v>65</v>
      </c>
      <c r="B22" t="s">
        <v>151</v>
      </c>
      <c r="C22" t="s">
        <v>251</v>
      </c>
      <c r="D22" s="64">
        <f t="shared" ca="1" si="0"/>
        <v>28</v>
      </c>
      <c r="E22" t="s">
        <v>31</v>
      </c>
      <c r="F22" t="s">
        <v>350</v>
      </c>
      <c r="G22" t="s">
        <v>351</v>
      </c>
      <c r="H22" s="63">
        <v>45320</v>
      </c>
      <c r="I22" s="62"/>
      <c r="J22" s="63"/>
      <c r="K22" s="65">
        <f t="shared" ca="1" si="1"/>
        <v>1</v>
      </c>
      <c r="L22" t="s">
        <v>368</v>
      </c>
      <c r="M22" t="s">
        <v>18</v>
      </c>
      <c r="N22" t="s">
        <v>48</v>
      </c>
      <c r="O22" s="62">
        <v>36</v>
      </c>
      <c r="P22" s="68">
        <f t="shared" si="2"/>
        <v>1</v>
      </c>
      <c r="Y22" s="55">
        <f>IF(Riepilogo!$B$1="", "", IF(ISNUMBER(SEARCH(Riepilogo!$B$1, A22)), ROW(), ""))</f>
        <v>22</v>
      </c>
    </row>
    <row r="23" spans="1:25" ht="15" x14ac:dyDescent="0.25">
      <c r="A23" t="s">
        <v>377</v>
      </c>
      <c r="B23" t="s">
        <v>234</v>
      </c>
      <c r="C23" t="s">
        <v>333</v>
      </c>
      <c r="D23" s="64">
        <f t="shared" ca="1" si="0"/>
        <v>22</v>
      </c>
      <c r="E23" t="s">
        <v>31</v>
      </c>
      <c r="F23" t="s">
        <v>350</v>
      </c>
      <c r="G23" t="s">
        <v>357</v>
      </c>
      <c r="H23" s="63">
        <v>40603</v>
      </c>
      <c r="I23" s="62"/>
      <c r="J23" s="63"/>
      <c r="K23" s="65">
        <f t="shared" ca="1" si="1"/>
        <v>14</v>
      </c>
      <c r="L23" t="s">
        <v>372</v>
      </c>
      <c r="M23" t="s">
        <v>373</v>
      </c>
      <c r="N23" t="s">
        <v>371</v>
      </c>
      <c r="O23" s="62">
        <v>36</v>
      </c>
      <c r="P23" s="68">
        <f t="shared" si="2"/>
        <v>1</v>
      </c>
      <c r="Y23" s="55">
        <f>IF(Riepilogo!$B$1="", "", IF(ISNUMBER(SEARCH(Riepilogo!$B$1, A23)), ROW(), ""))</f>
        <v>23</v>
      </c>
    </row>
    <row r="24" spans="1:25" ht="15" x14ac:dyDescent="0.25">
      <c r="A24" t="s">
        <v>94</v>
      </c>
      <c r="B24" t="s">
        <v>182</v>
      </c>
      <c r="C24" t="s">
        <v>282</v>
      </c>
      <c r="D24" s="64">
        <f t="shared" ca="1" si="0"/>
        <v>29</v>
      </c>
      <c r="E24" t="s">
        <v>31</v>
      </c>
      <c r="F24" t="s">
        <v>353</v>
      </c>
      <c r="G24" t="s">
        <v>358</v>
      </c>
      <c r="H24" s="63">
        <v>42037</v>
      </c>
      <c r="I24" s="62"/>
      <c r="J24" s="63"/>
      <c r="K24" s="65">
        <f t="shared" ca="1" si="1"/>
        <v>10</v>
      </c>
      <c r="L24" t="s">
        <v>372</v>
      </c>
      <c r="M24" t="s">
        <v>373</v>
      </c>
      <c r="N24" t="s">
        <v>369</v>
      </c>
      <c r="O24" s="62">
        <v>36</v>
      </c>
      <c r="P24" s="68">
        <f t="shared" si="2"/>
        <v>1</v>
      </c>
      <c r="Y24" s="55">
        <f>IF(Riepilogo!$B$1="", "", IF(ISNUMBER(SEARCH(Riepilogo!$B$1, A24)), ROW(), ""))</f>
        <v>24</v>
      </c>
    </row>
    <row r="25" spans="1:25" ht="15" x14ac:dyDescent="0.25">
      <c r="A25" t="s">
        <v>378</v>
      </c>
      <c r="B25" t="s">
        <v>222</v>
      </c>
      <c r="C25" t="s">
        <v>321</v>
      </c>
      <c r="D25" s="64">
        <f t="shared" ca="1" si="0"/>
        <v>33</v>
      </c>
      <c r="E25" t="s">
        <v>31</v>
      </c>
      <c r="F25" t="s">
        <v>365</v>
      </c>
      <c r="G25" t="s">
        <v>355</v>
      </c>
      <c r="H25" s="63">
        <v>42324</v>
      </c>
      <c r="I25" s="62"/>
      <c r="J25" s="63"/>
      <c r="K25" s="65">
        <f t="shared" ca="1" si="1"/>
        <v>9</v>
      </c>
      <c r="L25" t="s">
        <v>368</v>
      </c>
      <c r="M25" t="s">
        <v>373</v>
      </c>
      <c r="N25" t="s">
        <v>369</v>
      </c>
      <c r="O25" s="62">
        <v>36</v>
      </c>
      <c r="P25" s="68">
        <f t="shared" si="2"/>
        <v>1</v>
      </c>
      <c r="Y25" s="55">
        <f>IF(Riepilogo!$B$1="", "", IF(ISNUMBER(SEARCH(Riepilogo!$B$1, A25)), ROW(), ""))</f>
        <v>25</v>
      </c>
    </row>
    <row r="26" spans="1:25" ht="15" x14ac:dyDescent="0.25">
      <c r="A26" t="s">
        <v>113</v>
      </c>
      <c r="B26" t="s">
        <v>205</v>
      </c>
      <c r="C26" t="s">
        <v>304</v>
      </c>
      <c r="D26" s="64">
        <f t="shared" ca="1" si="0"/>
        <v>33</v>
      </c>
      <c r="E26" t="s">
        <v>31</v>
      </c>
      <c r="F26" t="s">
        <v>352</v>
      </c>
      <c r="G26" t="s">
        <v>351</v>
      </c>
      <c r="H26" s="63">
        <v>43851</v>
      </c>
      <c r="I26" s="62"/>
      <c r="J26" s="63"/>
      <c r="K26" s="65">
        <f t="shared" ca="1" si="1"/>
        <v>5</v>
      </c>
      <c r="L26" t="s">
        <v>372</v>
      </c>
      <c r="M26" t="s">
        <v>18</v>
      </c>
      <c r="N26" t="s">
        <v>48</v>
      </c>
      <c r="O26" s="62">
        <v>36</v>
      </c>
      <c r="P26" s="68">
        <f t="shared" si="2"/>
        <v>1</v>
      </c>
      <c r="Y26" s="55">
        <f>IF(Riepilogo!$B$1="", "", IF(ISNUMBER(SEARCH(Riepilogo!$B$1, A26)), ROW(), ""))</f>
        <v>26</v>
      </c>
    </row>
    <row r="27" spans="1:25" ht="15" x14ac:dyDescent="0.25">
      <c r="A27" t="s">
        <v>64</v>
      </c>
      <c r="B27" t="s">
        <v>150</v>
      </c>
      <c r="C27" t="s">
        <v>250</v>
      </c>
      <c r="D27" s="64">
        <f t="shared" ca="1" si="0"/>
        <v>29</v>
      </c>
      <c r="E27" t="s">
        <v>31</v>
      </c>
      <c r="F27" t="s">
        <v>349</v>
      </c>
      <c r="G27" t="s">
        <v>25</v>
      </c>
      <c r="H27" s="63">
        <v>45090</v>
      </c>
      <c r="I27" s="62"/>
      <c r="J27" s="63"/>
      <c r="K27" s="65">
        <f t="shared" ca="1" si="1"/>
        <v>1</v>
      </c>
      <c r="L27" t="s">
        <v>368</v>
      </c>
      <c r="M27" t="s">
        <v>19</v>
      </c>
      <c r="N27" t="s">
        <v>369</v>
      </c>
      <c r="O27" s="62">
        <v>36</v>
      </c>
      <c r="P27" s="68">
        <f t="shared" si="2"/>
        <v>1</v>
      </c>
      <c r="Y27" s="55">
        <f>IF(Riepilogo!$B$1="", "", IF(ISNUMBER(SEARCH(Riepilogo!$B$1, A27)), ROW(), ""))</f>
        <v>27</v>
      </c>
    </row>
    <row r="28" spans="1:25" ht="15" x14ac:dyDescent="0.25">
      <c r="A28" t="s">
        <v>88</v>
      </c>
      <c r="B28" t="s">
        <v>175</v>
      </c>
      <c r="C28" t="s">
        <v>275</v>
      </c>
      <c r="D28" s="64">
        <f t="shared" ca="1" si="0"/>
        <v>27</v>
      </c>
      <c r="E28" t="s">
        <v>31</v>
      </c>
      <c r="F28" t="s">
        <v>365</v>
      </c>
      <c r="G28" t="s">
        <v>351</v>
      </c>
      <c r="H28" s="63">
        <v>45299</v>
      </c>
      <c r="I28" s="63"/>
      <c r="J28" s="63"/>
      <c r="K28" s="65">
        <f t="shared" ca="1" si="1"/>
        <v>1</v>
      </c>
      <c r="L28" t="s">
        <v>372</v>
      </c>
      <c r="M28" t="s">
        <v>370</v>
      </c>
      <c r="N28" t="s">
        <v>371</v>
      </c>
      <c r="O28" s="62">
        <v>36</v>
      </c>
      <c r="P28" s="68">
        <f t="shared" si="2"/>
        <v>1</v>
      </c>
      <c r="Y28" s="55">
        <f>IF(Riepilogo!$B$1="", "", IF(ISNUMBER(SEARCH(Riepilogo!$B$1, A28)), ROW(), ""))</f>
        <v>28</v>
      </c>
    </row>
    <row r="29" spans="1:25" ht="15" x14ac:dyDescent="0.25">
      <c r="A29" t="s">
        <v>120</v>
      </c>
      <c r="B29" t="s">
        <v>213</v>
      </c>
      <c r="C29" t="s">
        <v>312</v>
      </c>
      <c r="D29" s="64">
        <f t="shared" ca="1" si="0"/>
        <v>26</v>
      </c>
      <c r="E29" t="s">
        <v>31</v>
      </c>
      <c r="F29" t="s">
        <v>353</v>
      </c>
      <c r="G29" t="s">
        <v>25</v>
      </c>
      <c r="H29" s="63">
        <v>43943</v>
      </c>
      <c r="I29" s="62"/>
      <c r="J29" s="63"/>
      <c r="K29" s="65">
        <f t="shared" ca="1" si="1"/>
        <v>5</v>
      </c>
      <c r="L29" t="s">
        <v>372</v>
      </c>
      <c r="M29" t="s">
        <v>373</v>
      </c>
      <c r="N29" t="s">
        <v>48</v>
      </c>
      <c r="O29" s="62">
        <v>36</v>
      </c>
      <c r="P29" s="68">
        <f t="shared" si="2"/>
        <v>1</v>
      </c>
      <c r="Y29" s="55">
        <f>IF(Riepilogo!$B$1="", "", IF(ISNUMBER(SEARCH(Riepilogo!$B$1, A29)), ROW(), ""))</f>
        <v>29</v>
      </c>
    </row>
    <row r="30" spans="1:25" ht="15" x14ac:dyDescent="0.25">
      <c r="A30" t="s">
        <v>142</v>
      </c>
      <c r="B30" t="s">
        <v>242</v>
      </c>
      <c r="C30" t="s">
        <v>341</v>
      </c>
      <c r="D30" s="64">
        <f t="shared" ca="1" si="0"/>
        <v>37</v>
      </c>
      <c r="E30" t="s">
        <v>31</v>
      </c>
      <c r="F30" t="s">
        <v>356</v>
      </c>
      <c r="G30" t="s">
        <v>357</v>
      </c>
      <c r="H30" s="63">
        <v>44593</v>
      </c>
      <c r="I30" s="62"/>
      <c r="J30" s="63"/>
      <c r="K30" s="65">
        <f t="shared" ca="1" si="1"/>
        <v>3</v>
      </c>
      <c r="L30" t="s">
        <v>372</v>
      </c>
      <c r="M30" t="s">
        <v>373</v>
      </c>
      <c r="N30" t="s">
        <v>371</v>
      </c>
      <c r="O30" s="62">
        <v>36</v>
      </c>
      <c r="P30" s="68">
        <f t="shared" si="2"/>
        <v>1</v>
      </c>
      <c r="Y30" s="55" t="str">
        <f>IF(Riepilogo!$B$1="", "", IF(ISNUMBER(SEARCH(Riepilogo!$B$1, A30)), ROW(), ""))</f>
        <v/>
      </c>
    </row>
    <row r="31" spans="1:25" ht="15" x14ac:dyDescent="0.25">
      <c r="A31" t="s">
        <v>122</v>
      </c>
      <c r="B31" t="s">
        <v>215</v>
      </c>
      <c r="C31" t="s">
        <v>314</v>
      </c>
      <c r="D31" s="64">
        <f t="shared" ca="1" si="0"/>
        <v>55</v>
      </c>
      <c r="E31" t="s">
        <v>31</v>
      </c>
      <c r="F31" t="s">
        <v>360</v>
      </c>
      <c r="G31" t="s">
        <v>355</v>
      </c>
      <c r="H31" s="63">
        <v>29007</v>
      </c>
      <c r="I31" s="62"/>
      <c r="J31" s="63"/>
      <c r="K31" s="65">
        <f t="shared" ca="1" si="1"/>
        <v>45</v>
      </c>
      <c r="L31" t="s">
        <v>368</v>
      </c>
      <c r="M31" t="s">
        <v>373</v>
      </c>
      <c r="N31" t="s">
        <v>48</v>
      </c>
      <c r="O31" s="62">
        <v>36</v>
      </c>
      <c r="P31" s="68">
        <f t="shared" si="2"/>
        <v>1</v>
      </c>
      <c r="Y31" s="55" t="str">
        <f>IF(Riepilogo!$B$1="", "", IF(ISNUMBER(SEARCH(Riepilogo!$B$1, A31)), ROW(), ""))</f>
        <v/>
      </c>
    </row>
    <row r="32" spans="1:25" ht="15" x14ac:dyDescent="0.25">
      <c r="A32" t="s">
        <v>85</v>
      </c>
      <c r="B32" t="s">
        <v>172</v>
      </c>
      <c r="C32" t="s">
        <v>272</v>
      </c>
      <c r="D32" s="64">
        <f t="shared" ca="1" si="0"/>
        <v>45</v>
      </c>
      <c r="E32" t="s">
        <v>31</v>
      </c>
      <c r="F32" t="s">
        <v>352</v>
      </c>
      <c r="G32" t="s">
        <v>362</v>
      </c>
      <c r="H32" s="63">
        <v>37579</v>
      </c>
      <c r="I32" s="62"/>
      <c r="J32" s="63"/>
      <c r="K32" s="65">
        <f t="shared" ca="1" si="1"/>
        <v>22</v>
      </c>
      <c r="L32" t="s">
        <v>372</v>
      </c>
      <c r="M32" t="s">
        <v>19</v>
      </c>
      <c r="N32" t="s">
        <v>371</v>
      </c>
      <c r="O32" s="62">
        <v>36</v>
      </c>
      <c r="P32" s="68">
        <f t="shared" si="2"/>
        <v>1</v>
      </c>
      <c r="Y32" s="55" t="str">
        <f>IF(Riepilogo!$B$1="", "", IF(ISNUMBER(SEARCH(Riepilogo!$B$1, A32)), ROW(), ""))</f>
        <v/>
      </c>
    </row>
    <row r="33" spans="1:25" ht="15" x14ac:dyDescent="0.25">
      <c r="A33" t="s">
        <v>134</v>
      </c>
      <c r="B33" t="s">
        <v>233</v>
      </c>
      <c r="C33" t="s">
        <v>332</v>
      </c>
      <c r="D33" s="64">
        <f t="shared" ca="1" si="0"/>
        <v>35</v>
      </c>
      <c r="E33" t="s">
        <v>31</v>
      </c>
      <c r="F33" t="s">
        <v>352</v>
      </c>
      <c r="G33" t="s">
        <v>363</v>
      </c>
      <c r="H33" s="63">
        <v>44621</v>
      </c>
      <c r="I33" s="62"/>
      <c r="J33" s="63"/>
      <c r="K33" s="65">
        <f t="shared" ca="1" si="1"/>
        <v>3</v>
      </c>
      <c r="L33" t="s">
        <v>368</v>
      </c>
      <c r="M33" t="s">
        <v>18</v>
      </c>
      <c r="N33" t="s">
        <v>369</v>
      </c>
      <c r="O33" s="62">
        <v>36</v>
      </c>
      <c r="P33" s="68">
        <f t="shared" si="2"/>
        <v>1</v>
      </c>
      <c r="Y33" s="55" t="str">
        <f>IF(Riepilogo!$B$1="", "", IF(ISNUMBER(SEARCH(Riepilogo!$B$1, A33)), ROW(), ""))</f>
        <v/>
      </c>
    </row>
    <row r="34" spans="1:25" ht="15" x14ac:dyDescent="0.25">
      <c r="A34" t="s">
        <v>132</v>
      </c>
      <c r="B34" t="s">
        <v>229</v>
      </c>
      <c r="C34" t="s">
        <v>328</v>
      </c>
      <c r="D34" s="64">
        <f t="shared" ref="D34:D65" ca="1" si="3">YEAR(TODAY())-YEAR($C34)-IF(TODAY()&lt;DATE(YEAR(TODAY()),MONTH($C34),DAY($C34)),1,0)</f>
        <v>46</v>
      </c>
      <c r="E34" t="s">
        <v>30</v>
      </c>
      <c r="F34" t="s">
        <v>349</v>
      </c>
      <c r="G34" t="s">
        <v>362</v>
      </c>
      <c r="H34" s="63">
        <v>43872</v>
      </c>
      <c r="I34" s="62"/>
      <c r="J34" s="63"/>
      <c r="K34" s="65">
        <f t="shared" ref="K34:K65" ca="1" si="4">YEAR(TODAY())-YEAR($H34)-IF(TODAY()&lt;DATE(YEAR(TODAY()),MONTH($H34),DAY($H34)),1,0)</f>
        <v>5</v>
      </c>
      <c r="L34" t="s">
        <v>368</v>
      </c>
      <c r="M34" t="s">
        <v>19</v>
      </c>
      <c r="N34" t="s">
        <v>369</v>
      </c>
      <c r="O34" s="62">
        <v>36</v>
      </c>
      <c r="P34" s="68">
        <f t="shared" ref="P34:P65" si="5">IF(O34&lt;=0,0,O34/36)</f>
        <v>1</v>
      </c>
      <c r="Y34" s="55" t="str">
        <f>IF(Riepilogo!$B$1="", "", IF(ISNUMBER(SEARCH(Riepilogo!$B$1, A34)), ROW(), ""))</f>
        <v/>
      </c>
    </row>
    <row r="35" spans="1:25" ht="15" x14ac:dyDescent="0.25">
      <c r="A35" t="s">
        <v>108</v>
      </c>
      <c r="B35" t="s">
        <v>198</v>
      </c>
      <c r="C35" t="s">
        <v>297</v>
      </c>
      <c r="D35" s="64">
        <f t="shared" ca="1" si="3"/>
        <v>58</v>
      </c>
      <c r="E35" t="s">
        <v>30</v>
      </c>
      <c r="F35" t="s">
        <v>353</v>
      </c>
      <c r="G35" t="s">
        <v>358</v>
      </c>
      <c r="H35" s="63">
        <v>44293</v>
      </c>
      <c r="I35" s="62"/>
      <c r="J35" s="63"/>
      <c r="K35" s="65">
        <f t="shared" ca="1" si="4"/>
        <v>4</v>
      </c>
      <c r="L35" t="s">
        <v>372</v>
      </c>
      <c r="M35" t="s">
        <v>370</v>
      </c>
      <c r="N35" t="s">
        <v>371</v>
      </c>
      <c r="O35" s="62">
        <v>36</v>
      </c>
      <c r="P35" s="68">
        <f t="shared" si="5"/>
        <v>1</v>
      </c>
      <c r="Y35" s="55" t="str">
        <f>IF(Riepilogo!$B$1="", "", IF(ISNUMBER(SEARCH(Riepilogo!$B$1, A35)), ROW(), ""))</f>
        <v/>
      </c>
    </row>
    <row r="36" spans="1:25" ht="15" x14ac:dyDescent="0.25">
      <c r="A36" t="s">
        <v>123</v>
      </c>
      <c r="B36" t="s">
        <v>216</v>
      </c>
      <c r="C36" t="s">
        <v>315</v>
      </c>
      <c r="D36" s="64">
        <f t="shared" ca="1" si="3"/>
        <v>53</v>
      </c>
      <c r="E36" t="s">
        <v>30</v>
      </c>
      <c r="F36" t="s">
        <v>350</v>
      </c>
      <c r="G36" t="s">
        <v>354</v>
      </c>
      <c r="H36" s="63">
        <v>43998</v>
      </c>
      <c r="I36" s="62"/>
      <c r="J36" s="63"/>
      <c r="K36" s="65">
        <f t="shared" ca="1" si="4"/>
        <v>4</v>
      </c>
      <c r="L36" t="s">
        <v>372</v>
      </c>
      <c r="M36" t="s">
        <v>19</v>
      </c>
      <c r="N36" t="s">
        <v>369</v>
      </c>
      <c r="O36" s="62">
        <v>36</v>
      </c>
      <c r="P36" s="68">
        <f t="shared" si="5"/>
        <v>1</v>
      </c>
      <c r="Y36" s="55" t="str">
        <f>IF(Riepilogo!$B$1="", "", IF(ISNUMBER(SEARCH(Riepilogo!$B$1, A36)), ROW(), ""))</f>
        <v/>
      </c>
    </row>
    <row r="37" spans="1:25" ht="15" x14ac:dyDescent="0.25">
      <c r="A37" t="s">
        <v>69</v>
      </c>
      <c r="B37" t="s">
        <v>155</v>
      </c>
      <c r="C37" t="s">
        <v>255</v>
      </c>
      <c r="D37" s="64">
        <f t="shared" ca="1" si="3"/>
        <v>55</v>
      </c>
      <c r="E37" t="s">
        <v>30</v>
      </c>
      <c r="F37" t="s">
        <v>352</v>
      </c>
      <c r="G37" t="s">
        <v>354</v>
      </c>
      <c r="H37" s="63">
        <v>38042</v>
      </c>
      <c r="I37" s="62"/>
      <c r="J37" s="63"/>
      <c r="K37" s="65">
        <f t="shared" ca="1" si="4"/>
        <v>21</v>
      </c>
      <c r="L37" t="s">
        <v>372</v>
      </c>
      <c r="M37" t="s">
        <v>373</v>
      </c>
      <c r="N37" t="s">
        <v>369</v>
      </c>
      <c r="O37" s="62">
        <v>36</v>
      </c>
      <c r="P37" s="68">
        <f t="shared" si="5"/>
        <v>1</v>
      </c>
      <c r="Y37" s="55" t="str">
        <f>IF(Riepilogo!$B$1="", "", IF(ISNUMBER(SEARCH(Riepilogo!$B$1, A37)), ROW(), ""))</f>
        <v/>
      </c>
    </row>
    <row r="38" spans="1:25" ht="15" x14ac:dyDescent="0.25">
      <c r="A38" t="s">
        <v>87</v>
      </c>
      <c r="B38" t="s">
        <v>174</v>
      </c>
      <c r="C38" t="s">
        <v>274</v>
      </c>
      <c r="D38" s="64">
        <f t="shared" ca="1" si="3"/>
        <v>48</v>
      </c>
      <c r="E38" t="s">
        <v>30</v>
      </c>
      <c r="F38" t="s">
        <v>349</v>
      </c>
      <c r="G38" t="s">
        <v>27</v>
      </c>
      <c r="H38" s="63">
        <v>38078</v>
      </c>
      <c r="I38" s="62"/>
      <c r="J38" s="63"/>
      <c r="K38" s="65">
        <f t="shared" ca="1" si="4"/>
        <v>21</v>
      </c>
      <c r="L38" t="s">
        <v>372</v>
      </c>
      <c r="M38" t="s">
        <v>373</v>
      </c>
      <c r="N38" t="s">
        <v>371</v>
      </c>
      <c r="O38" s="62">
        <v>36</v>
      </c>
      <c r="P38" s="68">
        <f t="shared" si="5"/>
        <v>1</v>
      </c>
      <c r="Y38" s="55" t="str">
        <f>IF(Riepilogo!$B$1="", "", IF(ISNUMBER(SEARCH(Riepilogo!$B$1, A38)), ROW(), ""))</f>
        <v/>
      </c>
    </row>
    <row r="39" spans="1:25" ht="15" x14ac:dyDescent="0.25">
      <c r="A39" t="s">
        <v>135</v>
      </c>
      <c r="B39" t="s">
        <v>235</v>
      </c>
      <c r="C39" t="s">
        <v>334</v>
      </c>
      <c r="D39" s="64">
        <f t="shared" ca="1" si="3"/>
        <v>47</v>
      </c>
      <c r="E39" t="s">
        <v>30</v>
      </c>
      <c r="F39" t="s">
        <v>353</v>
      </c>
      <c r="G39" t="s">
        <v>25</v>
      </c>
      <c r="H39" s="63">
        <v>41974</v>
      </c>
      <c r="I39" s="62"/>
      <c r="J39" s="63"/>
      <c r="K39" s="65">
        <f t="shared" ca="1" si="4"/>
        <v>10</v>
      </c>
      <c r="L39" t="s">
        <v>372</v>
      </c>
      <c r="M39" t="s">
        <v>370</v>
      </c>
      <c r="N39" t="s">
        <v>48</v>
      </c>
      <c r="O39" s="62">
        <v>36</v>
      </c>
      <c r="P39" s="68">
        <f t="shared" si="5"/>
        <v>1</v>
      </c>
      <c r="Y39" s="55" t="str">
        <f>IF(Riepilogo!$B$1="", "", IF(ISNUMBER(SEARCH(Riepilogo!$B$1, A39)), ROW(), ""))</f>
        <v/>
      </c>
    </row>
    <row r="40" spans="1:25" ht="15" x14ac:dyDescent="0.25">
      <c r="A40" t="s">
        <v>90</v>
      </c>
      <c r="B40" t="s">
        <v>178</v>
      </c>
      <c r="C40" t="s">
        <v>278</v>
      </c>
      <c r="D40" s="64">
        <f t="shared" ca="1" si="3"/>
        <v>48</v>
      </c>
      <c r="E40" t="s">
        <v>31</v>
      </c>
      <c r="F40" t="s">
        <v>361</v>
      </c>
      <c r="G40" t="s">
        <v>26</v>
      </c>
      <c r="H40" s="63">
        <v>42887</v>
      </c>
      <c r="I40" s="62"/>
      <c r="J40" s="63"/>
      <c r="K40" s="65">
        <f t="shared" ca="1" si="4"/>
        <v>7</v>
      </c>
      <c r="L40" t="s">
        <v>372</v>
      </c>
      <c r="M40" t="s">
        <v>370</v>
      </c>
      <c r="N40" t="s">
        <v>371</v>
      </c>
      <c r="O40" s="62">
        <v>36</v>
      </c>
      <c r="P40" s="68">
        <f t="shared" si="5"/>
        <v>1</v>
      </c>
      <c r="Y40" s="55" t="str">
        <f>IF(Riepilogo!$B$1="", "", IF(ISNUMBER(SEARCH(Riepilogo!$B$1, A40)), ROW(), ""))</f>
        <v/>
      </c>
    </row>
    <row r="41" spans="1:25" ht="15" x14ac:dyDescent="0.25">
      <c r="A41" t="s">
        <v>102</v>
      </c>
      <c r="B41" t="s">
        <v>192</v>
      </c>
      <c r="C41" t="s">
        <v>291</v>
      </c>
      <c r="D41" s="64">
        <f t="shared" ca="1" si="3"/>
        <v>39</v>
      </c>
      <c r="E41" t="s">
        <v>31</v>
      </c>
      <c r="F41" t="s">
        <v>356</v>
      </c>
      <c r="G41" t="s">
        <v>354</v>
      </c>
      <c r="H41" s="63">
        <v>45635</v>
      </c>
      <c r="I41" s="62"/>
      <c r="J41" s="63"/>
      <c r="K41" s="65">
        <f t="shared" ca="1" si="4"/>
        <v>0</v>
      </c>
      <c r="L41" t="s">
        <v>372</v>
      </c>
      <c r="M41" t="s">
        <v>19</v>
      </c>
      <c r="N41" t="s">
        <v>369</v>
      </c>
      <c r="O41" s="62">
        <v>36</v>
      </c>
      <c r="P41" s="68">
        <f t="shared" si="5"/>
        <v>1</v>
      </c>
      <c r="Y41" s="55" t="str">
        <f>IF(Riepilogo!$B$1="", "", IF(ISNUMBER(SEARCH(Riepilogo!$B$1, A41)), ROW(), ""))</f>
        <v/>
      </c>
    </row>
    <row r="42" spans="1:25" ht="15" x14ac:dyDescent="0.25">
      <c r="A42" t="s">
        <v>379</v>
      </c>
      <c r="B42" t="s">
        <v>211</v>
      </c>
      <c r="C42" t="s">
        <v>310</v>
      </c>
      <c r="D42" s="64">
        <f t="shared" ca="1" si="3"/>
        <v>38</v>
      </c>
      <c r="E42" t="s">
        <v>31</v>
      </c>
      <c r="F42" t="s">
        <v>352</v>
      </c>
      <c r="G42" t="s">
        <v>355</v>
      </c>
      <c r="H42" s="63">
        <v>41883</v>
      </c>
      <c r="I42" s="62"/>
      <c r="J42" s="63"/>
      <c r="K42" s="65">
        <f t="shared" ca="1" si="4"/>
        <v>10</v>
      </c>
      <c r="L42" t="s">
        <v>368</v>
      </c>
      <c r="M42" t="s">
        <v>18</v>
      </c>
      <c r="N42" t="s">
        <v>371</v>
      </c>
      <c r="O42" s="62">
        <v>36</v>
      </c>
      <c r="P42" s="68">
        <f t="shared" si="5"/>
        <v>1</v>
      </c>
      <c r="Y42" s="55" t="str">
        <f>IF(Riepilogo!$B$1="", "", IF(ISNUMBER(SEARCH(Riepilogo!$B$1, A42)), ROW(), ""))</f>
        <v/>
      </c>
    </row>
    <row r="43" spans="1:25" ht="15" x14ac:dyDescent="0.25">
      <c r="A43" t="s">
        <v>128</v>
      </c>
      <c r="B43" t="s">
        <v>225</v>
      </c>
      <c r="C43" t="s">
        <v>324</v>
      </c>
      <c r="D43" s="64">
        <f t="shared" ca="1" si="3"/>
        <v>50</v>
      </c>
      <c r="E43" t="s">
        <v>31</v>
      </c>
      <c r="F43" t="s">
        <v>349</v>
      </c>
      <c r="G43" t="s">
        <v>357</v>
      </c>
      <c r="H43" s="63">
        <v>45103</v>
      </c>
      <c r="I43" s="62"/>
      <c r="J43" s="63"/>
      <c r="K43" s="65">
        <f t="shared" ca="1" si="4"/>
        <v>1</v>
      </c>
      <c r="L43" t="s">
        <v>368</v>
      </c>
      <c r="M43" t="s">
        <v>19</v>
      </c>
      <c r="N43" t="s">
        <v>371</v>
      </c>
      <c r="O43" s="62">
        <v>36</v>
      </c>
      <c r="P43" s="68">
        <f t="shared" si="5"/>
        <v>1</v>
      </c>
      <c r="Y43" s="55" t="str">
        <f>IF(Riepilogo!$B$1="", "", IF(ISNUMBER(SEARCH(Riepilogo!$B$1, A43)), ROW(), ""))</f>
        <v/>
      </c>
    </row>
    <row r="44" spans="1:25" ht="15" x14ac:dyDescent="0.25">
      <c r="A44" t="s">
        <v>75</v>
      </c>
      <c r="B44" t="s">
        <v>161</v>
      </c>
      <c r="C44" t="s">
        <v>261</v>
      </c>
      <c r="D44" s="64">
        <f t="shared" ca="1" si="3"/>
        <v>53</v>
      </c>
      <c r="E44" t="s">
        <v>31</v>
      </c>
      <c r="F44" t="s">
        <v>360</v>
      </c>
      <c r="G44" t="s">
        <v>351</v>
      </c>
      <c r="H44" s="63">
        <v>44958</v>
      </c>
      <c r="I44" s="62"/>
      <c r="J44" s="63"/>
      <c r="K44" s="65">
        <f t="shared" ca="1" si="4"/>
        <v>2</v>
      </c>
      <c r="L44" t="s">
        <v>372</v>
      </c>
      <c r="M44" t="s">
        <v>18</v>
      </c>
      <c r="N44" t="s">
        <v>369</v>
      </c>
      <c r="O44" s="62">
        <v>36</v>
      </c>
      <c r="P44" s="68">
        <f t="shared" si="5"/>
        <v>1</v>
      </c>
      <c r="Y44" s="55" t="str">
        <f>IF(Riepilogo!$B$1="", "", IF(ISNUMBER(SEARCH(Riepilogo!$B$1, A44)), ROW(), ""))</f>
        <v/>
      </c>
    </row>
    <row r="45" spans="1:25" ht="15" x14ac:dyDescent="0.25">
      <c r="A45" t="s">
        <v>136</v>
      </c>
      <c r="B45" t="s">
        <v>236</v>
      </c>
      <c r="C45" t="s">
        <v>335</v>
      </c>
      <c r="D45" s="64">
        <f t="shared" ca="1" si="3"/>
        <v>57</v>
      </c>
      <c r="E45" t="s">
        <v>31</v>
      </c>
      <c r="F45" t="s">
        <v>364</v>
      </c>
      <c r="G45" t="s">
        <v>362</v>
      </c>
      <c r="H45" s="63">
        <v>43710</v>
      </c>
      <c r="I45" s="62"/>
      <c r="J45" s="63"/>
      <c r="K45" s="65">
        <f t="shared" ca="1" si="4"/>
        <v>5</v>
      </c>
      <c r="L45" t="s">
        <v>368</v>
      </c>
      <c r="M45" t="s">
        <v>19</v>
      </c>
      <c r="N45" t="s">
        <v>48</v>
      </c>
      <c r="O45" s="62">
        <v>36</v>
      </c>
      <c r="P45" s="68">
        <f t="shared" si="5"/>
        <v>1</v>
      </c>
      <c r="Y45" s="55" t="str">
        <f>IF(Riepilogo!$B$1="", "", IF(ISNUMBER(SEARCH(Riepilogo!$B$1, A45)), ROW(), ""))</f>
        <v/>
      </c>
    </row>
    <row r="46" spans="1:25" ht="15" x14ac:dyDescent="0.25">
      <c r="A46" t="s">
        <v>73</v>
      </c>
      <c r="B46" t="s">
        <v>159</v>
      </c>
      <c r="C46" t="s">
        <v>259</v>
      </c>
      <c r="D46" s="64">
        <f t="shared" ca="1" si="3"/>
        <v>43</v>
      </c>
      <c r="E46" t="s">
        <v>31</v>
      </c>
      <c r="F46" t="s">
        <v>359</v>
      </c>
      <c r="G46" t="s">
        <v>27</v>
      </c>
      <c r="H46" s="63">
        <v>40087</v>
      </c>
      <c r="I46" s="62"/>
      <c r="J46" s="63"/>
      <c r="K46" s="65">
        <f t="shared" ca="1" si="4"/>
        <v>15</v>
      </c>
      <c r="L46" t="s">
        <v>368</v>
      </c>
      <c r="M46" t="s">
        <v>19</v>
      </c>
      <c r="N46" t="s">
        <v>48</v>
      </c>
      <c r="O46" s="62">
        <v>36</v>
      </c>
      <c r="P46" s="68">
        <f t="shared" si="5"/>
        <v>1</v>
      </c>
      <c r="Y46" s="55" t="str">
        <f>IF(Riepilogo!$B$1="", "", IF(ISNUMBER(SEARCH(Riepilogo!$B$1, A46)), ROW(), ""))</f>
        <v/>
      </c>
    </row>
    <row r="47" spans="1:25" ht="15" x14ac:dyDescent="0.25">
      <c r="A47" t="s">
        <v>95</v>
      </c>
      <c r="B47" t="s">
        <v>183</v>
      </c>
      <c r="C47" t="s">
        <v>283</v>
      </c>
      <c r="D47" s="64">
        <f t="shared" ca="1" si="3"/>
        <v>50</v>
      </c>
      <c r="E47" t="s">
        <v>31</v>
      </c>
      <c r="F47" t="s">
        <v>349</v>
      </c>
      <c r="G47" t="s">
        <v>355</v>
      </c>
      <c r="H47" s="63">
        <v>45691</v>
      </c>
      <c r="I47" s="62"/>
      <c r="J47" s="63"/>
      <c r="K47" s="65">
        <f t="shared" ca="1" si="4"/>
        <v>0</v>
      </c>
      <c r="L47" t="s">
        <v>372</v>
      </c>
      <c r="M47" t="s">
        <v>373</v>
      </c>
      <c r="N47" t="s">
        <v>369</v>
      </c>
      <c r="O47" s="62">
        <v>36</v>
      </c>
      <c r="P47" s="68">
        <f t="shared" si="5"/>
        <v>1</v>
      </c>
      <c r="Y47" s="55" t="str">
        <f>IF(Riepilogo!$B$1="", "", IF(ISNUMBER(SEARCH(Riepilogo!$B$1, A47)), ROW(), ""))</f>
        <v/>
      </c>
    </row>
    <row r="48" spans="1:25" ht="15" x14ac:dyDescent="0.25">
      <c r="A48" t="s">
        <v>112</v>
      </c>
      <c r="B48" t="s">
        <v>203</v>
      </c>
      <c r="C48" t="s">
        <v>302</v>
      </c>
      <c r="D48" s="64">
        <f t="shared" ca="1" si="3"/>
        <v>38</v>
      </c>
      <c r="E48" t="s">
        <v>31</v>
      </c>
      <c r="F48" t="s">
        <v>360</v>
      </c>
      <c r="G48" t="s">
        <v>355</v>
      </c>
      <c r="H48" s="63">
        <v>40455</v>
      </c>
      <c r="I48" s="62"/>
      <c r="J48" s="63"/>
      <c r="K48" s="65">
        <f t="shared" ca="1" si="4"/>
        <v>14</v>
      </c>
      <c r="L48" t="s">
        <v>372</v>
      </c>
      <c r="M48" t="s">
        <v>373</v>
      </c>
      <c r="N48" t="s">
        <v>48</v>
      </c>
      <c r="O48" s="62">
        <v>25</v>
      </c>
      <c r="P48" s="68">
        <f t="shared" si="5"/>
        <v>0.69444444444444442</v>
      </c>
      <c r="Y48" s="55" t="str">
        <f>IF(Riepilogo!$B$1="", "", IF(ISNUMBER(SEARCH(Riepilogo!$B$1, A48)), ROW(), ""))</f>
        <v/>
      </c>
    </row>
    <row r="49" spans="1:25" ht="15" x14ac:dyDescent="0.25">
      <c r="A49" t="s">
        <v>92</v>
      </c>
      <c r="B49" t="s">
        <v>180</v>
      </c>
      <c r="C49" t="s">
        <v>280</v>
      </c>
      <c r="D49" s="64">
        <f t="shared" ca="1" si="3"/>
        <v>54</v>
      </c>
      <c r="E49" t="s">
        <v>31</v>
      </c>
      <c r="F49" t="s">
        <v>365</v>
      </c>
      <c r="G49" t="s">
        <v>26</v>
      </c>
      <c r="H49" s="63">
        <v>44277</v>
      </c>
      <c r="I49" s="62"/>
      <c r="J49" s="63"/>
      <c r="K49" s="65">
        <f t="shared" ca="1" si="4"/>
        <v>4</v>
      </c>
      <c r="L49" t="s">
        <v>368</v>
      </c>
      <c r="M49" t="s">
        <v>19</v>
      </c>
      <c r="N49" t="s">
        <v>371</v>
      </c>
      <c r="O49" s="62">
        <v>36</v>
      </c>
      <c r="P49" s="68">
        <f t="shared" si="5"/>
        <v>1</v>
      </c>
      <c r="Y49" s="55" t="str">
        <f>IF(Riepilogo!$B$1="", "", IF(ISNUMBER(SEARCH(Riepilogo!$B$1, A49)), ROW(), ""))</f>
        <v/>
      </c>
    </row>
    <row r="50" spans="1:25" ht="15" x14ac:dyDescent="0.25">
      <c r="A50" t="s">
        <v>125</v>
      </c>
      <c r="B50" t="s">
        <v>218</v>
      </c>
      <c r="C50" t="s">
        <v>317</v>
      </c>
      <c r="D50" s="64">
        <f t="shared" ca="1" si="3"/>
        <v>26</v>
      </c>
      <c r="E50" t="s">
        <v>31</v>
      </c>
      <c r="F50" t="s">
        <v>361</v>
      </c>
      <c r="G50" t="s">
        <v>27</v>
      </c>
      <c r="H50" s="63">
        <v>41169</v>
      </c>
      <c r="I50" s="62"/>
      <c r="J50" s="63"/>
      <c r="K50" s="65">
        <f t="shared" ca="1" si="4"/>
        <v>12</v>
      </c>
      <c r="L50" t="s">
        <v>372</v>
      </c>
      <c r="M50" t="s">
        <v>18</v>
      </c>
      <c r="N50" t="s">
        <v>371</v>
      </c>
      <c r="O50" s="62">
        <v>36</v>
      </c>
      <c r="P50" s="68">
        <f t="shared" si="5"/>
        <v>1</v>
      </c>
      <c r="Y50" s="55" t="str">
        <f>IF(Riepilogo!$B$1="", "", IF(ISNUMBER(SEARCH(Riepilogo!$B$1, A50)), ROW(), ""))</f>
        <v/>
      </c>
    </row>
    <row r="51" spans="1:25" ht="15" x14ac:dyDescent="0.25">
      <c r="A51" t="s">
        <v>124</v>
      </c>
      <c r="B51" t="s">
        <v>217</v>
      </c>
      <c r="C51" t="s">
        <v>316</v>
      </c>
      <c r="D51" s="64">
        <f t="shared" ca="1" si="3"/>
        <v>37</v>
      </c>
      <c r="E51" t="s">
        <v>31</v>
      </c>
      <c r="F51" t="s">
        <v>361</v>
      </c>
      <c r="G51" t="s">
        <v>355</v>
      </c>
      <c r="H51" s="63">
        <v>44350</v>
      </c>
      <c r="I51" s="62"/>
      <c r="J51" s="63"/>
      <c r="K51" s="65">
        <f t="shared" ca="1" si="4"/>
        <v>3</v>
      </c>
      <c r="L51" t="s">
        <v>372</v>
      </c>
      <c r="M51" t="s">
        <v>373</v>
      </c>
      <c r="N51" t="s">
        <v>371</v>
      </c>
      <c r="O51" s="62">
        <v>25</v>
      </c>
      <c r="P51" s="68">
        <f t="shared" si="5"/>
        <v>0.69444444444444442</v>
      </c>
      <c r="Y51" s="55" t="str">
        <f>IF(Riepilogo!$B$1="", "", IF(ISNUMBER(SEARCH(Riepilogo!$B$1, A51)), ROW(), ""))</f>
        <v/>
      </c>
    </row>
    <row r="52" spans="1:25" ht="15" x14ac:dyDescent="0.25">
      <c r="A52" t="s">
        <v>380</v>
      </c>
      <c r="B52" t="s">
        <v>220</v>
      </c>
      <c r="C52" t="s">
        <v>319</v>
      </c>
      <c r="D52" s="64">
        <f t="shared" ca="1" si="3"/>
        <v>47</v>
      </c>
      <c r="E52" t="s">
        <v>31</v>
      </c>
      <c r="F52" t="s">
        <v>353</v>
      </c>
      <c r="G52" t="s">
        <v>26</v>
      </c>
      <c r="H52" s="63">
        <v>44130</v>
      </c>
      <c r="I52" s="62"/>
      <c r="J52" s="63"/>
      <c r="K52" s="65">
        <f t="shared" ca="1" si="4"/>
        <v>4</v>
      </c>
      <c r="L52" t="s">
        <v>368</v>
      </c>
      <c r="M52" t="s">
        <v>18</v>
      </c>
      <c r="N52" t="s">
        <v>369</v>
      </c>
      <c r="O52" s="62">
        <v>36</v>
      </c>
      <c r="P52" s="68">
        <f t="shared" si="5"/>
        <v>1</v>
      </c>
      <c r="Y52" s="55" t="str">
        <f>IF(Riepilogo!$B$1="", "", IF(ISNUMBER(SEARCH(Riepilogo!$B$1, A52)), ROW(), ""))</f>
        <v/>
      </c>
    </row>
    <row r="53" spans="1:25" ht="15" x14ac:dyDescent="0.25">
      <c r="A53" t="s">
        <v>81</v>
      </c>
      <c r="B53" t="s">
        <v>167</v>
      </c>
      <c r="C53" t="s">
        <v>267</v>
      </c>
      <c r="D53" s="64">
        <f t="shared" ca="1" si="3"/>
        <v>26</v>
      </c>
      <c r="E53" t="s">
        <v>31</v>
      </c>
      <c r="F53" t="s">
        <v>349</v>
      </c>
      <c r="G53" t="s">
        <v>358</v>
      </c>
      <c r="H53" s="63">
        <v>45264</v>
      </c>
      <c r="I53" s="63"/>
      <c r="J53" s="63"/>
      <c r="K53" s="65">
        <f t="shared" ca="1" si="4"/>
        <v>1</v>
      </c>
      <c r="L53" t="s">
        <v>368</v>
      </c>
      <c r="M53" t="s">
        <v>19</v>
      </c>
      <c r="N53" t="s">
        <v>371</v>
      </c>
      <c r="O53" s="62">
        <v>36</v>
      </c>
      <c r="P53" s="68">
        <f t="shared" si="5"/>
        <v>1</v>
      </c>
      <c r="Y53" s="55" t="str">
        <f>IF(Riepilogo!$B$1="", "", IF(ISNUMBER(SEARCH(Riepilogo!$B$1, A53)), ROW(), ""))</f>
        <v/>
      </c>
    </row>
    <row r="54" spans="1:25" ht="15" x14ac:dyDescent="0.25">
      <c r="A54" t="s">
        <v>140</v>
      </c>
      <c r="B54" t="s">
        <v>240</v>
      </c>
      <c r="C54" t="s">
        <v>339</v>
      </c>
      <c r="D54" s="64">
        <f t="shared" ca="1" si="3"/>
        <v>58</v>
      </c>
      <c r="E54" t="s">
        <v>31</v>
      </c>
      <c r="F54" t="s">
        <v>364</v>
      </c>
      <c r="G54" t="s">
        <v>354</v>
      </c>
      <c r="H54" s="63">
        <v>44893</v>
      </c>
      <c r="I54" s="62"/>
      <c r="J54" s="63"/>
      <c r="K54" s="65">
        <f t="shared" ca="1" si="4"/>
        <v>2</v>
      </c>
      <c r="L54" t="s">
        <v>372</v>
      </c>
      <c r="M54" t="s">
        <v>19</v>
      </c>
      <c r="N54" t="s">
        <v>369</v>
      </c>
      <c r="O54" s="62">
        <v>36</v>
      </c>
      <c r="P54" s="68">
        <f t="shared" si="5"/>
        <v>1</v>
      </c>
      <c r="Y54" s="55" t="str">
        <f>IF(Riepilogo!$B$1="", "", IF(ISNUMBER(SEARCH(Riepilogo!$B$1, A54)), ROW(), ""))</f>
        <v/>
      </c>
    </row>
    <row r="55" spans="1:25" ht="15" x14ac:dyDescent="0.25">
      <c r="A55" t="s">
        <v>126</v>
      </c>
      <c r="B55" t="s">
        <v>219</v>
      </c>
      <c r="C55" t="s">
        <v>318</v>
      </c>
      <c r="D55" s="64">
        <f t="shared" ca="1" si="3"/>
        <v>55</v>
      </c>
      <c r="E55" t="s">
        <v>30</v>
      </c>
      <c r="F55" t="s">
        <v>360</v>
      </c>
      <c r="G55" t="s">
        <v>362</v>
      </c>
      <c r="H55" s="63">
        <v>40093</v>
      </c>
      <c r="I55" s="62"/>
      <c r="J55" s="63"/>
      <c r="K55" s="65">
        <f t="shared" ca="1" si="4"/>
        <v>15</v>
      </c>
      <c r="L55" t="s">
        <v>368</v>
      </c>
      <c r="M55" t="s">
        <v>18</v>
      </c>
      <c r="N55" t="s">
        <v>48</v>
      </c>
      <c r="O55" s="62">
        <v>36</v>
      </c>
      <c r="P55" s="68">
        <f t="shared" si="5"/>
        <v>1</v>
      </c>
      <c r="Y55" s="55" t="str">
        <f>IF(Riepilogo!$B$1="", "", IF(ISNUMBER(SEARCH(Riepilogo!$B$1, A55)), ROW(), ""))</f>
        <v/>
      </c>
    </row>
    <row r="56" spans="1:25" ht="15" x14ac:dyDescent="0.25">
      <c r="A56" t="s">
        <v>97</v>
      </c>
      <c r="B56" t="s">
        <v>185</v>
      </c>
      <c r="C56" t="s">
        <v>285</v>
      </c>
      <c r="D56" s="64">
        <f t="shared" ca="1" si="3"/>
        <v>36</v>
      </c>
      <c r="E56" t="s">
        <v>30</v>
      </c>
      <c r="F56" t="s">
        <v>359</v>
      </c>
      <c r="G56" t="s">
        <v>27</v>
      </c>
      <c r="H56" s="63">
        <v>44137</v>
      </c>
      <c r="I56" s="62"/>
      <c r="J56" s="63"/>
      <c r="K56" s="65">
        <f t="shared" ca="1" si="4"/>
        <v>4</v>
      </c>
      <c r="L56" t="s">
        <v>372</v>
      </c>
      <c r="M56" t="s">
        <v>373</v>
      </c>
      <c r="N56" t="s">
        <v>48</v>
      </c>
      <c r="O56" s="62">
        <v>36</v>
      </c>
      <c r="P56" s="68">
        <f t="shared" si="5"/>
        <v>1</v>
      </c>
      <c r="Y56" s="55" t="str">
        <f>IF(Riepilogo!$B$1="", "", IF(ISNUMBER(SEARCH(Riepilogo!$B$1, A56)), ROW(), ""))</f>
        <v/>
      </c>
    </row>
    <row r="57" spans="1:25" ht="15" x14ac:dyDescent="0.25">
      <c r="A57" t="s">
        <v>117</v>
      </c>
      <c r="B57" t="s">
        <v>209</v>
      </c>
      <c r="C57" t="s">
        <v>308</v>
      </c>
      <c r="D57" s="64">
        <f t="shared" ca="1" si="3"/>
        <v>37</v>
      </c>
      <c r="E57" t="s">
        <v>30</v>
      </c>
      <c r="F57" t="s">
        <v>352</v>
      </c>
      <c r="G57" t="s">
        <v>355</v>
      </c>
      <c r="H57" s="63">
        <v>45111</v>
      </c>
      <c r="I57" s="62"/>
      <c r="J57" s="63"/>
      <c r="K57" s="65">
        <f t="shared" ca="1" si="4"/>
        <v>1</v>
      </c>
      <c r="L57" t="s">
        <v>372</v>
      </c>
      <c r="M57" t="s">
        <v>370</v>
      </c>
      <c r="N57" t="s">
        <v>48</v>
      </c>
      <c r="O57" s="62">
        <v>36</v>
      </c>
      <c r="P57" s="68">
        <f t="shared" si="5"/>
        <v>1</v>
      </c>
      <c r="Y57" s="55" t="str">
        <f>IF(Riepilogo!$B$1="", "", IF(ISNUMBER(SEARCH(Riepilogo!$B$1, A57)), ROW(), ""))</f>
        <v/>
      </c>
    </row>
    <row r="58" spans="1:25" ht="15" x14ac:dyDescent="0.25">
      <c r="A58" t="s">
        <v>78</v>
      </c>
      <c r="B58" t="s">
        <v>164</v>
      </c>
      <c r="C58" t="s">
        <v>264</v>
      </c>
      <c r="D58" s="64">
        <f t="shared" ca="1" si="3"/>
        <v>38</v>
      </c>
      <c r="E58" t="s">
        <v>30</v>
      </c>
      <c r="F58" t="s">
        <v>356</v>
      </c>
      <c r="G58" t="s">
        <v>26</v>
      </c>
      <c r="H58" s="63">
        <v>44729</v>
      </c>
      <c r="I58" s="62"/>
      <c r="J58" s="63"/>
      <c r="K58" s="65">
        <f t="shared" ca="1" si="4"/>
        <v>2</v>
      </c>
      <c r="L58" t="s">
        <v>368</v>
      </c>
      <c r="M58" t="s">
        <v>18</v>
      </c>
      <c r="N58" t="s">
        <v>48</v>
      </c>
      <c r="O58" s="62">
        <v>36</v>
      </c>
      <c r="P58" s="68">
        <f t="shared" si="5"/>
        <v>1</v>
      </c>
      <c r="Y58" s="55" t="str">
        <f>IF(Riepilogo!$B$1="", "", IF(ISNUMBER(SEARCH(Riepilogo!$B$1, A58)), ROW(), ""))</f>
        <v/>
      </c>
    </row>
    <row r="59" spans="1:25" ht="15" x14ac:dyDescent="0.25">
      <c r="A59" t="s">
        <v>84</v>
      </c>
      <c r="B59" t="s">
        <v>171</v>
      </c>
      <c r="C59" t="s">
        <v>271</v>
      </c>
      <c r="D59" s="64">
        <f t="shared" ca="1" si="3"/>
        <v>23</v>
      </c>
      <c r="E59" t="s">
        <v>30</v>
      </c>
      <c r="F59" t="s">
        <v>352</v>
      </c>
      <c r="G59" t="s">
        <v>357</v>
      </c>
      <c r="H59" s="63">
        <v>45555</v>
      </c>
      <c r="I59" s="62"/>
      <c r="J59" s="63"/>
      <c r="K59" s="65">
        <f t="shared" ca="1" si="4"/>
        <v>0</v>
      </c>
      <c r="L59" t="s">
        <v>368</v>
      </c>
      <c r="M59" t="s">
        <v>373</v>
      </c>
      <c r="N59" t="s">
        <v>369</v>
      </c>
      <c r="O59" s="62">
        <v>36</v>
      </c>
      <c r="P59" s="68">
        <f t="shared" si="5"/>
        <v>1</v>
      </c>
      <c r="Y59" s="55" t="str">
        <f>IF(Riepilogo!$B$1="", "", IF(ISNUMBER(SEARCH(Riepilogo!$B$1, A59)), ROW(), ""))</f>
        <v/>
      </c>
    </row>
    <row r="60" spans="1:25" ht="15" x14ac:dyDescent="0.25">
      <c r="A60" t="s">
        <v>143</v>
      </c>
      <c r="B60" t="s">
        <v>243</v>
      </c>
      <c r="C60" t="s">
        <v>342</v>
      </c>
      <c r="D60" s="64">
        <f t="shared" ca="1" si="3"/>
        <v>38</v>
      </c>
      <c r="E60" t="s">
        <v>30</v>
      </c>
      <c r="F60" t="s">
        <v>350</v>
      </c>
      <c r="G60" t="s">
        <v>25</v>
      </c>
      <c r="H60" s="63">
        <v>44007</v>
      </c>
      <c r="I60" s="62"/>
      <c r="J60" s="63"/>
      <c r="K60" s="65">
        <f t="shared" ca="1" si="4"/>
        <v>4</v>
      </c>
      <c r="L60" t="s">
        <v>368</v>
      </c>
      <c r="M60" t="s">
        <v>373</v>
      </c>
      <c r="N60" t="s">
        <v>48</v>
      </c>
      <c r="O60" s="62">
        <v>36</v>
      </c>
      <c r="P60" s="68">
        <f t="shared" si="5"/>
        <v>1</v>
      </c>
      <c r="Y60" s="55" t="str">
        <f>IF(Riepilogo!$B$1="", "", IF(ISNUMBER(SEARCH(Riepilogo!$B$1, A60)), ROW(), ""))</f>
        <v/>
      </c>
    </row>
    <row r="61" spans="1:25" ht="15" x14ac:dyDescent="0.25">
      <c r="A61" t="s">
        <v>91</v>
      </c>
      <c r="B61" t="s">
        <v>179</v>
      </c>
      <c r="C61" t="s">
        <v>279</v>
      </c>
      <c r="D61" s="64">
        <f t="shared" ca="1" si="3"/>
        <v>54</v>
      </c>
      <c r="E61" t="s">
        <v>31</v>
      </c>
      <c r="F61" t="s">
        <v>361</v>
      </c>
      <c r="G61" t="s">
        <v>26</v>
      </c>
      <c r="H61" s="63">
        <v>44608</v>
      </c>
      <c r="I61" s="62"/>
      <c r="J61" s="63"/>
      <c r="K61" s="65">
        <f t="shared" ca="1" si="4"/>
        <v>3</v>
      </c>
      <c r="L61" t="s">
        <v>368</v>
      </c>
      <c r="M61" t="s">
        <v>373</v>
      </c>
      <c r="N61" t="s">
        <v>371</v>
      </c>
      <c r="O61" s="62">
        <v>36</v>
      </c>
      <c r="P61" s="68">
        <f t="shared" si="5"/>
        <v>1</v>
      </c>
      <c r="Y61" s="55" t="str">
        <f>IF(Riepilogo!$B$1="", "", IF(ISNUMBER(SEARCH(Riepilogo!$B$1, A61)), ROW(), ""))</f>
        <v/>
      </c>
    </row>
    <row r="62" spans="1:25" ht="15" x14ac:dyDescent="0.25">
      <c r="A62" t="s">
        <v>67</v>
      </c>
      <c r="B62" t="s">
        <v>153</v>
      </c>
      <c r="C62" t="s">
        <v>253</v>
      </c>
      <c r="D62" s="64">
        <f t="shared" ca="1" si="3"/>
        <v>34</v>
      </c>
      <c r="E62" t="s">
        <v>31</v>
      </c>
      <c r="F62" t="s">
        <v>353</v>
      </c>
      <c r="G62" t="s">
        <v>354</v>
      </c>
      <c r="H62" s="63">
        <v>43019</v>
      </c>
      <c r="I62" s="62"/>
      <c r="J62" s="63"/>
      <c r="K62" s="65">
        <f t="shared" ca="1" si="4"/>
        <v>7</v>
      </c>
      <c r="L62" t="s">
        <v>372</v>
      </c>
      <c r="M62" t="s">
        <v>19</v>
      </c>
      <c r="N62" t="s">
        <v>369</v>
      </c>
      <c r="O62" s="62">
        <v>36</v>
      </c>
      <c r="P62" s="68">
        <f t="shared" si="5"/>
        <v>1</v>
      </c>
      <c r="Y62" s="55" t="str">
        <f>IF(Riepilogo!$B$1="", "", IF(ISNUMBER(SEARCH(Riepilogo!$B$1, A62)), ROW(), ""))</f>
        <v/>
      </c>
    </row>
    <row r="63" spans="1:25" ht="15" x14ac:dyDescent="0.25">
      <c r="A63" t="s">
        <v>105</v>
      </c>
      <c r="B63" t="s">
        <v>195</v>
      </c>
      <c r="C63" t="s">
        <v>294</v>
      </c>
      <c r="D63" s="64">
        <f t="shared" ca="1" si="3"/>
        <v>24</v>
      </c>
      <c r="E63" t="s">
        <v>31</v>
      </c>
      <c r="F63" t="s">
        <v>365</v>
      </c>
      <c r="G63" t="s">
        <v>355</v>
      </c>
      <c r="H63" s="63">
        <v>43922</v>
      </c>
      <c r="I63" s="62"/>
      <c r="J63" s="63"/>
      <c r="K63" s="65">
        <f t="shared" ca="1" si="4"/>
        <v>5</v>
      </c>
      <c r="L63" t="s">
        <v>372</v>
      </c>
      <c r="M63" t="s">
        <v>373</v>
      </c>
      <c r="N63" t="s">
        <v>369</v>
      </c>
      <c r="O63" s="62">
        <v>30</v>
      </c>
      <c r="P63" s="68">
        <f t="shared" si="5"/>
        <v>0.83333333333333337</v>
      </c>
      <c r="Y63" s="55" t="str">
        <f>IF(Riepilogo!$B$1="", "", IF(ISNUMBER(SEARCH(Riepilogo!$B$1, A63)), ROW(), ""))</f>
        <v/>
      </c>
    </row>
    <row r="64" spans="1:25" ht="15" x14ac:dyDescent="0.25">
      <c r="A64" t="s">
        <v>116</v>
      </c>
      <c r="B64" t="s">
        <v>208</v>
      </c>
      <c r="C64" t="s">
        <v>307</v>
      </c>
      <c r="D64" s="64">
        <f t="shared" ca="1" si="3"/>
        <v>49</v>
      </c>
      <c r="E64" t="s">
        <v>31</v>
      </c>
      <c r="F64" t="s">
        <v>361</v>
      </c>
      <c r="G64" t="s">
        <v>25</v>
      </c>
      <c r="H64" s="63">
        <v>44270</v>
      </c>
      <c r="I64" s="62"/>
      <c r="J64" s="63"/>
      <c r="K64" s="65">
        <f t="shared" ca="1" si="4"/>
        <v>4</v>
      </c>
      <c r="L64" t="s">
        <v>368</v>
      </c>
      <c r="M64" t="s">
        <v>373</v>
      </c>
      <c r="N64" t="s">
        <v>369</v>
      </c>
      <c r="O64" s="62">
        <v>36</v>
      </c>
      <c r="P64" s="68">
        <f t="shared" si="5"/>
        <v>1</v>
      </c>
      <c r="Y64" s="55" t="str">
        <f>IF(Riepilogo!$B$1="", "", IF(ISNUMBER(SEARCH(Riepilogo!$B$1, A64)), ROW(), ""))</f>
        <v/>
      </c>
    </row>
    <row r="65" spans="1:25" ht="15" x14ac:dyDescent="0.25">
      <c r="A65" t="s">
        <v>100</v>
      </c>
      <c r="B65" t="s">
        <v>189</v>
      </c>
      <c r="C65" t="s">
        <v>288</v>
      </c>
      <c r="D65" s="64">
        <f t="shared" ca="1" si="3"/>
        <v>30</v>
      </c>
      <c r="E65" t="s">
        <v>30</v>
      </c>
      <c r="F65" t="s">
        <v>361</v>
      </c>
      <c r="G65" t="s">
        <v>26</v>
      </c>
      <c r="H65" s="63">
        <v>43773</v>
      </c>
      <c r="I65" s="62"/>
      <c r="J65" s="63"/>
      <c r="K65" s="65">
        <f t="shared" ca="1" si="4"/>
        <v>5</v>
      </c>
      <c r="L65" t="s">
        <v>368</v>
      </c>
      <c r="M65" t="s">
        <v>373</v>
      </c>
      <c r="N65" t="s">
        <v>371</v>
      </c>
      <c r="O65" s="62">
        <v>36</v>
      </c>
      <c r="P65" s="68">
        <f t="shared" si="5"/>
        <v>1</v>
      </c>
      <c r="Y65" s="55" t="str">
        <f>IF(Riepilogo!$B$1="", "", IF(ISNUMBER(SEARCH(Riepilogo!$B$1, A65)), ROW(), ""))</f>
        <v/>
      </c>
    </row>
    <row r="66" spans="1:25" ht="15" x14ac:dyDescent="0.25">
      <c r="A66" t="s">
        <v>381</v>
      </c>
      <c r="B66" t="s">
        <v>223</v>
      </c>
      <c r="C66" t="s">
        <v>322</v>
      </c>
      <c r="D66" s="64">
        <f t="shared" ref="D66:D101" ca="1" si="6">YEAR(TODAY())-YEAR($C66)-IF(TODAY()&lt;DATE(YEAR(TODAY()),MONTH($C66),DAY($C66)),1,0)</f>
        <v>58</v>
      </c>
      <c r="E66" t="s">
        <v>30</v>
      </c>
      <c r="F66" t="s">
        <v>353</v>
      </c>
      <c r="G66" t="s">
        <v>355</v>
      </c>
      <c r="H66" s="63">
        <v>45555</v>
      </c>
      <c r="I66" s="62"/>
      <c r="J66" s="63"/>
      <c r="K66" s="65">
        <f t="shared" ref="K66:K101" ca="1" si="7">YEAR(TODAY())-YEAR($H66)-IF(TODAY()&lt;DATE(YEAR(TODAY()),MONTH($H66),DAY($H66)),1,0)</f>
        <v>0</v>
      </c>
      <c r="L66" t="s">
        <v>372</v>
      </c>
      <c r="M66" t="s">
        <v>19</v>
      </c>
      <c r="N66" t="s">
        <v>369</v>
      </c>
      <c r="O66" s="62">
        <v>36</v>
      </c>
      <c r="P66" s="68">
        <f t="shared" ref="P66:P97" si="8">IF(O66&lt;=0,0,O66/36)</f>
        <v>1</v>
      </c>
      <c r="Y66" s="55" t="str">
        <f>IF(Riepilogo!$B$1="", "", IF(ISNUMBER(SEARCH(Riepilogo!$B$1, A66)), ROW(), ""))</f>
        <v/>
      </c>
    </row>
    <row r="67" spans="1:25" ht="15" x14ac:dyDescent="0.25">
      <c r="A67" t="s">
        <v>71</v>
      </c>
      <c r="B67" t="s">
        <v>157</v>
      </c>
      <c r="C67" t="s">
        <v>257</v>
      </c>
      <c r="D67" s="64">
        <f t="shared" ca="1" si="6"/>
        <v>41</v>
      </c>
      <c r="E67" t="s">
        <v>30</v>
      </c>
      <c r="F67" t="s">
        <v>352</v>
      </c>
      <c r="G67" t="s">
        <v>357</v>
      </c>
      <c r="H67" s="63">
        <v>37634</v>
      </c>
      <c r="I67" s="62"/>
      <c r="J67" s="63"/>
      <c r="K67" s="65">
        <f t="shared" ca="1" si="7"/>
        <v>22</v>
      </c>
      <c r="L67" t="s">
        <v>372</v>
      </c>
      <c r="M67" t="s">
        <v>370</v>
      </c>
      <c r="N67" t="s">
        <v>48</v>
      </c>
      <c r="O67" s="62">
        <v>30</v>
      </c>
      <c r="P67" s="68">
        <f t="shared" si="8"/>
        <v>0.83333333333333337</v>
      </c>
      <c r="Y67" s="55" t="str">
        <f>IF(Riepilogo!$B$1="", "", IF(ISNUMBER(SEARCH(Riepilogo!$B$1, A67)), ROW(), ""))</f>
        <v/>
      </c>
    </row>
    <row r="68" spans="1:25" ht="15" x14ac:dyDescent="0.25">
      <c r="A68" t="s">
        <v>121</v>
      </c>
      <c r="B68" t="s">
        <v>214</v>
      </c>
      <c r="C68" t="s">
        <v>313</v>
      </c>
      <c r="D68" s="64">
        <f t="shared" ca="1" si="6"/>
        <v>55</v>
      </c>
      <c r="E68" t="s">
        <v>30</v>
      </c>
      <c r="F68" t="s">
        <v>359</v>
      </c>
      <c r="G68" t="s">
        <v>354</v>
      </c>
      <c r="H68" s="63">
        <v>44013</v>
      </c>
      <c r="I68" s="62"/>
      <c r="J68" s="63"/>
      <c r="K68" s="65">
        <f t="shared" ca="1" si="7"/>
        <v>4</v>
      </c>
      <c r="L68" t="s">
        <v>372</v>
      </c>
      <c r="M68" t="s">
        <v>18</v>
      </c>
      <c r="N68" t="s">
        <v>369</v>
      </c>
      <c r="O68" s="62">
        <v>36</v>
      </c>
      <c r="P68" s="68">
        <f t="shared" si="8"/>
        <v>1</v>
      </c>
      <c r="Y68" s="55" t="str">
        <f>IF(Riepilogo!$B$1="", "", IF(ISNUMBER(SEARCH(Riepilogo!$B$1, A68)), ROW(), ""))</f>
        <v/>
      </c>
    </row>
    <row r="69" spans="1:25" ht="15" x14ac:dyDescent="0.25">
      <c r="A69" t="s">
        <v>129</v>
      </c>
      <c r="B69" t="s">
        <v>226</v>
      </c>
      <c r="C69" t="s">
        <v>325</v>
      </c>
      <c r="D69" s="64">
        <f t="shared" ca="1" si="6"/>
        <v>48</v>
      </c>
      <c r="E69" t="s">
        <v>30</v>
      </c>
      <c r="F69" t="s">
        <v>364</v>
      </c>
      <c r="G69" t="s">
        <v>355</v>
      </c>
      <c r="H69" s="63">
        <v>44621</v>
      </c>
      <c r="I69" s="62"/>
      <c r="J69" s="63"/>
      <c r="K69" s="65">
        <f t="shared" ca="1" si="7"/>
        <v>3</v>
      </c>
      <c r="L69" t="s">
        <v>368</v>
      </c>
      <c r="M69" t="s">
        <v>19</v>
      </c>
      <c r="N69" t="s">
        <v>369</v>
      </c>
      <c r="O69" s="62">
        <v>30</v>
      </c>
      <c r="P69" s="68">
        <f t="shared" si="8"/>
        <v>0.83333333333333337</v>
      </c>
      <c r="Y69" s="55" t="str">
        <f>IF(Riepilogo!$B$1="", "", IF(ISNUMBER(SEARCH(Riepilogo!$B$1, A69)), ROW(), ""))</f>
        <v/>
      </c>
    </row>
    <row r="70" spans="1:25" ht="15" x14ac:dyDescent="0.25">
      <c r="A70" t="s">
        <v>382</v>
      </c>
      <c r="B70" t="s">
        <v>231</v>
      </c>
      <c r="C70" t="s">
        <v>330</v>
      </c>
      <c r="D70" s="64">
        <f t="shared" ca="1" si="6"/>
        <v>30</v>
      </c>
      <c r="E70" t="s">
        <v>30</v>
      </c>
      <c r="F70" t="s">
        <v>359</v>
      </c>
      <c r="G70" t="s">
        <v>25</v>
      </c>
      <c r="H70" s="63">
        <v>39153</v>
      </c>
      <c r="I70" s="62"/>
      <c r="J70" s="63"/>
      <c r="K70" s="65">
        <f t="shared" ca="1" si="7"/>
        <v>18</v>
      </c>
      <c r="L70" t="s">
        <v>372</v>
      </c>
      <c r="M70" t="s">
        <v>19</v>
      </c>
      <c r="N70" t="s">
        <v>48</v>
      </c>
      <c r="O70" s="62">
        <v>36</v>
      </c>
      <c r="P70" s="68">
        <f t="shared" si="8"/>
        <v>1</v>
      </c>
      <c r="Y70" s="55" t="str">
        <f>IF(Riepilogo!$B$1="", "", IF(ISNUMBER(SEARCH(Riepilogo!$B$1, A70)), ROW(), ""))</f>
        <v/>
      </c>
    </row>
    <row r="71" spans="1:25" ht="15" x14ac:dyDescent="0.25">
      <c r="A71" t="s">
        <v>98</v>
      </c>
      <c r="B71" t="s">
        <v>186</v>
      </c>
      <c r="C71" t="s">
        <v>286</v>
      </c>
      <c r="D71" s="64">
        <f t="shared" ca="1" si="6"/>
        <v>33</v>
      </c>
      <c r="E71" t="s">
        <v>30</v>
      </c>
      <c r="F71" t="s">
        <v>352</v>
      </c>
      <c r="G71" t="s">
        <v>358</v>
      </c>
      <c r="H71" s="63">
        <v>45108</v>
      </c>
      <c r="I71" s="62"/>
      <c r="J71" s="63"/>
      <c r="K71" s="65">
        <f t="shared" ca="1" si="7"/>
        <v>1</v>
      </c>
      <c r="L71" t="s">
        <v>372</v>
      </c>
      <c r="M71" t="s">
        <v>19</v>
      </c>
      <c r="N71" t="s">
        <v>48</v>
      </c>
      <c r="O71" s="62">
        <v>36</v>
      </c>
      <c r="P71" s="68">
        <f t="shared" si="8"/>
        <v>1</v>
      </c>
      <c r="Y71" s="55" t="str">
        <f>IF(Riepilogo!$B$1="", "", IF(ISNUMBER(SEARCH(Riepilogo!$B$1, A71)), ROW(), ""))</f>
        <v/>
      </c>
    </row>
    <row r="72" spans="1:25" ht="15" x14ac:dyDescent="0.25">
      <c r="A72" t="s">
        <v>383</v>
      </c>
      <c r="B72" t="s">
        <v>204</v>
      </c>
      <c r="C72" t="s">
        <v>303</v>
      </c>
      <c r="D72" s="64">
        <f t="shared" ca="1" si="6"/>
        <v>44</v>
      </c>
      <c r="E72" t="s">
        <v>30</v>
      </c>
      <c r="F72" t="s">
        <v>352</v>
      </c>
      <c r="G72" t="s">
        <v>363</v>
      </c>
      <c r="H72" s="63">
        <v>43966</v>
      </c>
      <c r="I72" s="62"/>
      <c r="J72" s="63"/>
      <c r="K72" s="65">
        <f t="shared" ca="1" si="7"/>
        <v>4</v>
      </c>
      <c r="L72" t="s">
        <v>368</v>
      </c>
      <c r="M72" t="s">
        <v>18</v>
      </c>
      <c r="N72" t="s">
        <v>48</v>
      </c>
      <c r="O72" s="62">
        <v>36</v>
      </c>
      <c r="P72" s="68">
        <f t="shared" si="8"/>
        <v>1</v>
      </c>
      <c r="Y72" s="55" t="str">
        <f>IF(Riepilogo!$B$1="", "", IF(ISNUMBER(SEARCH(Riepilogo!$B$1, A72)), ROW(), ""))</f>
        <v/>
      </c>
    </row>
    <row r="73" spans="1:25" ht="15" x14ac:dyDescent="0.25">
      <c r="A73" t="s">
        <v>144</v>
      </c>
      <c r="B73" t="s">
        <v>244</v>
      </c>
      <c r="C73" t="s">
        <v>343</v>
      </c>
      <c r="D73" s="64">
        <f t="shared" ca="1" si="6"/>
        <v>63</v>
      </c>
      <c r="E73" t="s">
        <v>30</v>
      </c>
      <c r="F73" t="s">
        <v>356</v>
      </c>
      <c r="G73" t="s">
        <v>363</v>
      </c>
      <c r="H73" s="63">
        <v>44502</v>
      </c>
      <c r="I73" s="62"/>
      <c r="J73" s="63"/>
      <c r="K73" s="65">
        <f t="shared" ca="1" si="7"/>
        <v>3</v>
      </c>
      <c r="L73" t="s">
        <v>372</v>
      </c>
      <c r="M73" t="s">
        <v>370</v>
      </c>
      <c r="N73" t="s">
        <v>48</v>
      </c>
      <c r="O73" s="62">
        <v>30</v>
      </c>
      <c r="P73" s="68">
        <f t="shared" si="8"/>
        <v>0.83333333333333337</v>
      </c>
      <c r="Y73" s="55" t="str">
        <f>IF(Riepilogo!$B$1="", "", IF(ISNUMBER(SEARCH(Riepilogo!$B$1, A73)), ROW(), ""))</f>
        <v/>
      </c>
    </row>
    <row r="74" spans="1:25" ht="15" x14ac:dyDescent="0.25">
      <c r="A74" t="s">
        <v>138</v>
      </c>
      <c r="B74" t="s">
        <v>238</v>
      </c>
      <c r="C74" t="s">
        <v>337</v>
      </c>
      <c r="D74" s="64">
        <f t="shared" ca="1" si="6"/>
        <v>62</v>
      </c>
      <c r="E74" t="s">
        <v>31</v>
      </c>
      <c r="F74" t="s">
        <v>356</v>
      </c>
      <c r="G74" t="s">
        <v>26</v>
      </c>
      <c r="H74" s="63">
        <v>44124</v>
      </c>
      <c r="I74" s="62"/>
      <c r="J74" s="63"/>
      <c r="K74" s="65">
        <f t="shared" ca="1" si="7"/>
        <v>4</v>
      </c>
      <c r="L74" t="s">
        <v>368</v>
      </c>
      <c r="M74" t="s">
        <v>373</v>
      </c>
      <c r="N74" t="s">
        <v>371</v>
      </c>
      <c r="O74" s="62">
        <v>36</v>
      </c>
      <c r="P74" s="68">
        <f t="shared" si="8"/>
        <v>1</v>
      </c>
      <c r="Y74" s="55" t="str">
        <f>IF(Riepilogo!$B$1="", "", IF(ISNUMBER(SEARCH(Riepilogo!$B$1, A74)), ROW(), ""))</f>
        <v/>
      </c>
    </row>
    <row r="75" spans="1:25" ht="15" x14ac:dyDescent="0.25">
      <c r="A75" t="s">
        <v>141</v>
      </c>
      <c r="B75" t="s">
        <v>241</v>
      </c>
      <c r="C75" t="s">
        <v>340</v>
      </c>
      <c r="D75" s="64">
        <f t="shared" ca="1" si="6"/>
        <v>53</v>
      </c>
      <c r="E75" t="s">
        <v>30</v>
      </c>
      <c r="F75" t="s">
        <v>365</v>
      </c>
      <c r="G75" t="s">
        <v>362</v>
      </c>
      <c r="H75" s="63">
        <v>44125</v>
      </c>
      <c r="I75" s="62"/>
      <c r="J75" s="63"/>
      <c r="K75" s="65">
        <f t="shared" ca="1" si="7"/>
        <v>4</v>
      </c>
      <c r="L75" t="s">
        <v>368</v>
      </c>
      <c r="M75" t="s">
        <v>373</v>
      </c>
      <c r="N75" t="s">
        <v>48</v>
      </c>
      <c r="O75" s="62">
        <v>36</v>
      </c>
      <c r="P75" s="68">
        <f t="shared" si="8"/>
        <v>1</v>
      </c>
      <c r="Y75" s="55" t="str">
        <f>IF(Riepilogo!$B$1="", "", IF(ISNUMBER(SEARCH(Riepilogo!$B$1, A75)), ROW(), ""))</f>
        <v/>
      </c>
    </row>
    <row r="76" spans="1:25" ht="15" x14ac:dyDescent="0.25">
      <c r="A76" t="s">
        <v>148</v>
      </c>
      <c r="B76" t="s">
        <v>248</v>
      </c>
      <c r="C76" t="s">
        <v>347</v>
      </c>
      <c r="D76" s="64">
        <f t="shared" ca="1" si="6"/>
        <v>34</v>
      </c>
      <c r="E76" t="s">
        <v>30</v>
      </c>
      <c r="F76" t="s">
        <v>359</v>
      </c>
      <c r="G76" t="s">
        <v>26</v>
      </c>
      <c r="H76" s="63">
        <v>34776</v>
      </c>
      <c r="I76" s="62"/>
      <c r="J76" s="63"/>
      <c r="K76" s="65">
        <f t="shared" ca="1" si="7"/>
        <v>30</v>
      </c>
      <c r="L76" t="s">
        <v>368</v>
      </c>
      <c r="M76" t="s">
        <v>370</v>
      </c>
      <c r="N76" t="s">
        <v>369</v>
      </c>
      <c r="O76" s="62">
        <v>30</v>
      </c>
      <c r="P76" s="68">
        <f t="shared" si="8"/>
        <v>0.83333333333333337</v>
      </c>
      <c r="Y76" s="55" t="str">
        <f>IF(Riepilogo!$B$1="", "", IF(ISNUMBER(SEARCH(Riepilogo!$B$1, A76)), ROW(), ""))</f>
        <v/>
      </c>
    </row>
    <row r="77" spans="1:25" ht="15" x14ac:dyDescent="0.25">
      <c r="A77" t="s">
        <v>137</v>
      </c>
      <c r="B77" t="s">
        <v>237</v>
      </c>
      <c r="C77" t="s">
        <v>336</v>
      </c>
      <c r="D77" s="64">
        <f t="shared" ca="1" si="6"/>
        <v>48</v>
      </c>
      <c r="E77" t="s">
        <v>30</v>
      </c>
      <c r="F77" t="s">
        <v>360</v>
      </c>
      <c r="G77" t="s">
        <v>351</v>
      </c>
      <c r="H77" s="63">
        <v>44728</v>
      </c>
      <c r="I77" s="62"/>
      <c r="J77" s="63"/>
      <c r="K77" s="65">
        <f t="shared" ca="1" si="7"/>
        <v>2</v>
      </c>
      <c r="L77" t="s">
        <v>368</v>
      </c>
      <c r="M77" t="s">
        <v>370</v>
      </c>
      <c r="N77" t="s">
        <v>369</v>
      </c>
      <c r="O77" s="62">
        <v>36</v>
      </c>
      <c r="P77" s="68">
        <f t="shared" si="8"/>
        <v>1</v>
      </c>
      <c r="Y77" s="55" t="str">
        <f>IF(Riepilogo!$B$1="", "", IF(ISNUMBER(SEARCH(Riepilogo!$B$1, A77)), ROW(), ""))</f>
        <v/>
      </c>
    </row>
    <row r="78" spans="1:25" ht="15" x14ac:dyDescent="0.25">
      <c r="A78" t="s">
        <v>149</v>
      </c>
      <c r="B78" t="s">
        <v>249</v>
      </c>
      <c r="C78" t="s">
        <v>348</v>
      </c>
      <c r="D78" s="64">
        <f t="shared" ca="1" si="6"/>
        <v>59</v>
      </c>
      <c r="E78" t="s">
        <v>31</v>
      </c>
      <c r="F78" t="s">
        <v>349</v>
      </c>
      <c r="G78" t="s">
        <v>351</v>
      </c>
      <c r="H78" s="63">
        <v>36312</v>
      </c>
      <c r="I78" s="62"/>
      <c r="J78" s="63"/>
      <c r="K78" s="65">
        <f t="shared" ca="1" si="7"/>
        <v>25</v>
      </c>
      <c r="L78" t="s">
        <v>368</v>
      </c>
      <c r="M78" t="s">
        <v>18</v>
      </c>
      <c r="N78" t="s">
        <v>369</v>
      </c>
      <c r="O78" s="62">
        <v>36</v>
      </c>
      <c r="P78" s="68">
        <f t="shared" si="8"/>
        <v>1</v>
      </c>
      <c r="Y78" s="55" t="str">
        <f>IF(Riepilogo!$B$1="", "", IF(ISNUMBER(SEARCH(Riepilogo!$B$1, A78)), ROW(), ""))</f>
        <v/>
      </c>
    </row>
    <row r="79" spans="1:25" ht="15" x14ac:dyDescent="0.25">
      <c r="A79" t="s">
        <v>114</v>
      </c>
      <c r="B79" t="s">
        <v>206</v>
      </c>
      <c r="C79" t="s">
        <v>305</v>
      </c>
      <c r="D79" s="64">
        <f t="shared" ca="1" si="6"/>
        <v>50</v>
      </c>
      <c r="E79" t="s">
        <v>31</v>
      </c>
      <c r="F79" t="s">
        <v>361</v>
      </c>
      <c r="G79" t="s">
        <v>25</v>
      </c>
      <c r="H79" s="63">
        <v>45301</v>
      </c>
      <c r="I79" s="62"/>
      <c r="J79" s="63"/>
      <c r="K79" s="65">
        <f t="shared" ca="1" si="7"/>
        <v>1</v>
      </c>
      <c r="L79" t="s">
        <v>368</v>
      </c>
      <c r="M79" t="s">
        <v>373</v>
      </c>
      <c r="N79" t="s">
        <v>369</v>
      </c>
      <c r="O79" s="62">
        <v>36</v>
      </c>
      <c r="P79" s="68">
        <f t="shared" si="8"/>
        <v>1</v>
      </c>
      <c r="Y79" s="55" t="str">
        <f>IF(Riepilogo!$B$1="", "", IF(ISNUMBER(SEARCH(Riepilogo!$B$1, A79)), ROW(), ""))</f>
        <v/>
      </c>
    </row>
    <row r="80" spans="1:25" ht="15" x14ac:dyDescent="0.25">
      <c r="A80" t="s">
        <v>72</v>
      </c>
      <c r="B80" t="s">
        <v>158</v>
      </c>
      <c r="C80" t="s">
        <v>258</v>
      </c>
      <c r="D80" s="64">
        <f t="shared" ca="1" si="6"/>
        <v>39</v>
      </c>
      <c r="E80" t="s">
        <v>31</v>
      </c>
      <c r="F80" t="s">
        <v>349</v>
      </c>
      <c r="G80" t="s">
        <v>358</v>
      </c>
      <c r="H80" s="63">
        <v>43110</v>
      </c>
      <c r="I80" s="62"/>
      <c r="J80" s="63"/>
      <c r="K80" s="65">
        <f t="shared" ca="1" si="7"/>
        <v>7</v>
      </c>
      <c r="L80" t="s">
        <v>368</v>
      </c>
      <c r="M80" t="s">
        <v>370</v>
      </c>
      <c r="N80" t="s">
        <v>369</v>
      </c>
      <c r="O80" s="62">
        <v>36</v>
      </c>
      <c r="P80" s="68">
        <f t="shared" si="8"/>
        <v>1</v>
      </c>
      <c r="Y80" s="55" t="str">
        <f>IF(Riepilogo!$B$1="", "", IF(ISNUMBER(SEARCH(Riepilogo!$B$1, A80)), ROW(), ""))</f>
        <v/>
      </c>
    </row>
    <row r="81" spans="1:25" ht="15" x14ac:dyDescent="0.25">
      <c r="A81" t="s">
        <v>384</v>
      </c>
      <c r="B81" t="s">
        <v>232</v>
      </c>
      <c r="C81" t="s">
        <v>331</v>
      </c>
      <c r="D81" s="64">
        <f t="shared" ca="1" si="6"/>
        <v>42</v>
      </c>
      <c r="E81" t="s">
        <v>31</v>
      </c>
      <c r="F81" t="s">
        <v>350</v>
      </c>
      <c r="G81" t="s">
        <v>26</v>
      </c>
      <c r="H81" s="63">
        <v>40413</v>
      </c>
      <c r="I81" s="62"/>
      <c r="J81" s="63"/>
      <c r="K81" s="65">
        <f t="shared" ca="1" si="7"/>
        <v>14</v>
      </c>
      <c r="L81" t="s">
        <v>372</v>
      </c>
      <c r="M81" t="s">
        <v>373</v>
      </c>
      <c r="N81" t="s">
        <v>48</v>
      </c>
      <c r="O81" s="62">
        <v>36</v>
      </c>
      <c r="P81" s="68">
        <f t="shared" si="8"/>
        <v>1</v>
      </c>
      <c r="Y81" s="55" t="str">
        <f>IF(Riepilogo!$B$1="", "", IF(ISNUMBER(SEARCH(Riepilogo!$B$1, A81)), ROW(), ""))</f>
        <v/>
      </c>
    </row>
    <row r="82" spans="1:25" ht="15" x14ac:dyDescent="0.25">
      <c r="A82" t="s">
        <v>133</v>
      </c>
      <c r="B82" t="s">
        <v>230</v>
      </c>
      <c r="C82" t="s">
        <v>329</v>
      </c>
      <c r="D82" s="64">
        <f t="shared" ca="1" si="6"/>
        <v>47</v>
      </c>
      <c r="E82" t="s">
        <v>31</v>
      </c>
      <c r="F82" t="s">
        <v>359</v>
      </c>
      <c r="G82" t="s">
        <v>357</v>
      </c>
      <c r="H82" s="63">
        <v>44105</v>
      </c>
      <c r="I82" s="62"/>
      <c r="J82" s="63"/>
      <c r="K82" s="65">
        <f t="shared" ca="1" si="7"/>
        <v>4</v>
      </c>
      <c r="L82" t="s">
        <v>368</v>
      </c>
      <c r="M82" t="s">
        <v>373</v>
      </c>
      <c r="N82" t="s">
        <v>371</v>
      </c>
      <c r="O82" s="62">
        <v>36</v>
      </c>
      <c r="P82" s="68">
        <f t="shared" si="8"/>
        <v>1</v>
      </c>
      <c r="Y82" s="55" t="str">
        <f>IF(Riepilogo!$B$1="", "", IF(ISNUMBER(SEARCH(Riepilogo!$B$1, A82)), ROW(), ""))</f>
        <v/>
      </c>
    </row>
    <row r="83" spans="1:25" ht="15" x14ac:dyDescent="0.25">
      <c r="A83" t="s">
        <v>127</v>
      </c>
      <c r="B83" t="s">
        <v>221</v>
      </c>
      <c r="C83" t="s">
        <v>320</v>
      </c>
      <c r="D83" s="64">
        <f t="shared" ca="1" si="6"/>
        <v>22</v>
      </c>
      <c r="E83" t="s">
        <v>31</v>
      </c>
      <c r="F83" t="s">
        <v>352</v>
      </c>
      <c r="G83" t="s">
        <v>363</v>
      </c>
      <c r="H83" s="63">
        <v>43892</v>
      </c>
      <c r="I83" s="62"/>
      <c r="J83" s="63"/>
      <c r="K83" s="65">
        <f t="shared" ca="1" si="7"/>
        <v>5</v>
      </c>
      <c r="L83" t="s">
        <v>372</v>
      </c>
      <c r="M83" t="s">
        <v>19</v>
      </c>
      <c r="N83" t="s">
        <v>369</v>
      </c>
      <c r="O83" s="62">
        <v>36</v>
      </c>
      <c r="P83" s="68">
        <f t="shared" si="8"/>
        <v>1</v>
      </c>
      <c r="Y83" s="55" t="str">
        <f>IF(Riepilogo!$B$1="", "", IF(ISNUMBER(SEARCH(Riepilogo!$B$1, A83)), ROW(), ""))</f>
        <v/>
      </c>
    </row>
    <row r="84" spans="1:25" ht="15" x14ac:dyDescent="0.25">
      <c r="A84" t="s">
        <v>103</v>
      </c>
      <c r="B84" t="s">
        <v>193</v>
      </c>
      <c r="C84" t="s">
        <v>292</v>
      </c>
      <c r="D84" s="64">
        <f t="shared" ca="1" si="6"/>
        <v>56</v>
      </c>
      <c r="E84" t="s">
        <v>30</v>
      </c>
      <c r="F84" t="s">
        <v>349</v>
      </c>
      <c r="G84" t="s">
        <v>358</v>
      </c>
      <c r="H84" s="63">
        <v>44867</v>
      </c>
      <c r="I84" s="62"/>
      <c r="J84" s="63"/>
      <c r="K84" s="65">
        <f t="shared" ca="1" si="7"/>
        <v>2</v>
      </c>
      <c r="L84" t="s">
        <v>372</v>
      </c>
      <c r="M84" t="s">
        <v>370</v>
      </c>
      <c r="N84" t="s">
        <v>369</v>
      </c>
      <c r="O84" s="62">
        <v>36</v>
      </c>
      <c r="P84" s="68">
        <f t="shared" si="8"/>
        <v>1</v>
      </c>
      <c r="Y84" s="55" t="str">
        <f>IF(Riepilogo!$B$1="", "", IF(ISNUMBER(SEARCH(Riepilogo!$B$1, A84)), ROW(), ""))</f>
        <v/>
      </c>
    </row>
    <row r="85" spans="1:25" ht="15" x14ac:dyDescent="0.25">
      <c r="A85" t="s">
        <v>74</v>
      </c>
      <c r="B85" t="s">
        <v>160</v>
      </c>
      <c r="C85" t="s">
        <v>260</v>
      </c>
      <c r="D85" s="64">
        <f t="shared" ca="1" si="6"/>
        <v>27</v>
      </c>
      <c r="E85" t="s">
        <v>30</v>
      </c>
      <c r="F85" t="s">
        <v>359</v>
      </c>
      <c r="G85" t="s">
        <v>351</v>
      </c>
      <c r="H85" s="63">
        <v>45600</v>
      </c>
      <c r="I85" s="62"/>
      <c r="J85" s="63"/>
      <c r="K85" s="65">
        <f t="shared" ca="1" si="7"/>
        <v>0</v>
      </c>
      <c r="L85" t="s">
        <v>372</v>
      </c>
      <c r="M85" t="s">
        <v>373</v>
      </c>
      <c r="N85" t="s">
        <v>369</v>
      </c>
      <c r="O85" s="62">
        <v>30</v>
      </c>
      <c r="P85" s="68">
        <f t="shared" si="8"/>
        <v>0.83333333333333337</v>
      </c>
      <c r="Y85" s="55" t="str">
        <f>IF(Riepilogo!$B$1="", "", IF(ISNUMBER(SEARCH(Riepilogo!$B$1, A85)), ROW(), ""))</f>
        <v/>
      </c>
    </row>
    <row r="86" spans="1:25" ht="15" x14ac:dyDescent="0.25">
      <c r="A86" t="s">
        <v>385</v>
      </c>
      <c r="B86" t="s">
        <v>199</v>
      </c>
      <c r="C86" t="s">
        <v>298</v>
      </c>
      <c r="D86" s="64">
        <f t="shared" ca="1" si="6"/>
        <v>39</v>
      </c>
      <c r="E86" t="s">
        <v>30</v>
      </c>
      <c r="F86" t="s">
        <v>356</v>
      </c>
      <c r="G86" t="s">
        <v>354</v>
      </c>
      <c r="H86" s="63">
        <v>43941</v>
      </c>
      <c r="I86" s="62"/>
      <c r="J86" s="63"/>
      <c r="K86" s="65">
        <f t="shared" ca="1" si="7"/>
        <v>5</v>
      </c>
      <c r="L86" t="s">
        <v>372</v>
      </c>
      <c r="M86" t="s">
        <v>370</v>
      </c>
      <c r="N86" t="s">
        <v>371</v>
      </c>
      <c r="O86" s="62">
        <v>36</v>
      </c>
      <c r="P86" s="68">
        <f t="shared" si="8"/>
        <v>1</v>
      </c>
      <c r="Y86" s="55" t="str">
        <f>IF(Riepilogo!$B$1="", "", IF(ISNUMBER(SEARCH(Riepilogo!$B$1, A86)), ROW(), ""))</f>
        <v/>
      </c>
    </row>
    <row r="87" spans="1:25" ht="15" x14ac:dyDescent="0.25">
      <c r="A87" t="s">
        <v>111</v>
      </c>
      <c r="B87" t="s">
        <v>202</v>
      </c>
      <c r="C87" t="s">
        <v>301</v>
      </c>
      <c r="D87" s="64">
        <f t="shared" ca="1" si="6"/>
        <v>53</v>
      </c>
      <c r="E87" t="s">
        <v>30</v>
      </c>
      <c r="F87" t="s">
        <v>361</v>
      </c>
      <c r="G87" t="s">
        <v>363</v>
      </c>
      <c r="H87" s="63">
        <v>43941</v>
      </c>
      <c r="I87" s="62"/>
      <c r="J87" s="63"/>
      <c r="K87" s="65">
        <f t="shared" ca="1" si="7"/>
        <v>5</v>
      </c>
      <c r="L87" t="s">
        <v>372</v>
      </c>
      <c r="M87" t="s">
        <v>19</v>
      </c>
      <c r="N87" t="s">
        <v>48</v>
      </c>
      <c r="O87" s="62">
        <v>36</v>
      </c>
      <c r="P87" s="68">
        <f t="shared" si="8"/>
        <v>1</v>
      </c>
      <c r="Y87" s="55" t="str">
        <f>IF(Riepilogo!$B$1="", "", IF(ISNUMBER(SEARCH(Riepilogo!$B$1, A87)), ROW(), ""))</f>
        <v/>
      </c>
    </row>
    <row r="88" spans="1:25" ht="15" x14ac:dyDescent="0.25">
      <c r="A88" t="s">
        <v>66</v>
      </c>
      <c r="B88" t="s">
        <v>152</v>
      </c>
      <c r="C88" t="s">
        <v>252</v>
      </c>
      <c r="D88" s="64">
        <f t="shared" ca="1" si="6"/>
        <v>32</v>
      </c>
      <c r="E88" t="s">
        <v>30</v>
      </c>
      <c r="F88" t="s">
        <v>352</v>
      </c>
      <c r="G88" t="s">
        <v>26</v>
      </c>
      <c r="H88" s="63">
        <v>45635</v>
      </c>
      <c r="I88" s="62"/>
      <c r="J88" s="63"/>
      <c r="K88" s="65">
        <f t="shared" ca="1" si="7"/>
        <v>0</v>
      </c>
      <c r="L88" t="s">
        <v>368</v>
      </c>
      <c r="M88" t="s">
        <v>370</v>
      </c>
      <c r="N88" t="s">
        <v>371</v>
      </c>
      <c r="O88" s="62">
        <v>36</v>
      </c>
      <c r="P88" s="68">
        <f t="shared" si="8"/>
        <v>1</v>
      </c>
      <c r="Y88" s="55" t="str">
        <f>IF(Riepilogo!$B$1="", "", IF(ISNUMBER(SEARCH(Riepilogo!$B$1, A88)), ROW(), ""))</f>
        <v/>
      </c>
    </row>
    <row r="89" spans="1:25" ht="15" x14ac:dyDescent="0.25">
      <c r="A89" t="s">
        <v>109</v>
      </c>
      <c r="B89" t="s">
        <v>200</v>
      </c>
      <c r="C89" t="s">
        <v>299</v>
      </c>
      <c r="D89" s="64">
        <f t="shared" ca="1" si="6"/>
        <v>40</v>
      </c>
      <c r="E89" t="s">
        <v>30</v>
      </c>
      <c r="F89" t="s">
        <v>359</v>
      </c>
      <c r="G89" t="s">
        <v>27</v>
      </c>
      <c r="H89" s="63">
        <v>45572</v>
      </c>
      <c r="I89" s="62"/>
      <c r="J89" s="63"/>
      <c r="K89" s="65">
        <f t="shared" ca="1" si="7"/>
        <v>0</v>
      </c>
      <c r="L89" t="s">
        <v>368</v>
      </c>
      <c r="M89" t="s">
        <v>18</v>
      </c>
      <c r="N89" t="s">
        <v>371</v>
      </c>
      <c r="O89" s="62">
        <v>36</v>
      </c>
      <c r="P89" s="68">
        <f t="shared" si="8"/>
        <v>1</v>
      </c>
      <c r="Y89" s="55" t="str">
        <f>IF(Riepilogo!$B$1="", "", IF(ISNUMBER(SEARCH(Riepilogo!$B$1, A89)), ROW(), ""))</f>
        <v/>
      </c>
    </row>
    <row r="90" spans="1:25" ht="15" x14ac:dyDescent="0.25">
      <c r="A90" t="s">
        <v>79</v>
      </c>
      <c r="B90" t="s">
        <v>165</v>
      </c>
      <c r="C90" t="s">
        <v>265</v>
      </c>
      <c r="D90" s="64">
        <f t="shared" ca="1" si="6"/>
        <v>45</v>
      </c>
      <c r="E90" t="s">
        <v>30</v>
      </c>
      <c r="F90" t="s">
        <v>352</v>
      </c>
      <c r="G90" t="s">
        <v>354</v>
      </c>
      <c r="H90" s="63">
        <v>43252</v>
      </c>
      <c r="I90" s="62"/>
      <c r="J90" s="63"/>
      <c r="K90" s="65">
        <f t="shared" ca="1" si="7"/>
        <v>6</v>
      </c>
      <c r="L90" t="s">
        <v>372</v>
      </c>
      <c r="M90" t="s">
        <v>19</v>
      </c>
      <c r="N90" t="s">
        <v>48</v>
      </c>
      <c r="O90" s="62">
        <v>36</v>
      </c>
      <c r="P90" s="68">
        <f t="shared" si="8"/>
        <v>1</v>
      </c>
      <c r="Y90" s="55" t="str">
        <f>IF(Riepilogo!$B$1="", "", IF(ISNUMBER(SEARCH(Riepilogo!$B$1, A90)), ROW(), ""))</f>
        <v/>
      </c>
    </row>
    <row r="91" spans="1:25" ht="15" x14ac:dyDescent="0.25">
      <c r="A91" t="s">
        <v>86</v>
      </c>
      <c r="B91" t="s">
        <v>173</v>
      </c>
      <c r="C91" t="s">
        <v>273</v>
      </c>
      <c r="D91" s="64">
        <f t="shared" ca="1" si="6"/>
        <v>29</v>
      </c>
      <c r="E91" t="s">
        <v>30</v>
      </c>
      <c r="F91" t="s">
        <v>364</v>
      </c>
      <c r="G91" t="s">
        <v>25</v>
      </c>
      <c r="H91" s="63">
        <v>44090</v>
      </c>
      <c r="I91" s="62"/>
      <c r="J91" s="63"/>
      <c r="K91" s="65">
        <f t="shared" ca="1" si="7"/>
        <v>4</v>
      </c>
      <c r="L91" t="s">
        <v>368</v>
      </c>
      <c r="M91" t="s">
        <v>18</v>
      </c>
      <c r="N91" t="s">
        <v>48</v>
      </c>
      <c r="O91" s="62">
        <v>36</v>
      </c>
      <c r="P91" s="68">
        <f t="shared" si="8"/>
        <v>1</v>
      </c>
      <c r="Y91" s="55" t="str">
        <f>IF(Riepilogo!$B$1="", "", IF(ISNUMBER(SEARCH(Riepilogo!$B$1, A91)), ROW(), ""))</f>
        <v/>
      </c>
    </row>
    <row r="92" spans="1:25" ht="15" x14ac:dyDescent="0.25">
      <c r="A92" t="s">
        <v>93</v>
      </c>
      <c r="B92" t="s">
        <v>181</v>
      </c>
      <c r="C92" t="s">
        <v>281</v>
      </c>
      <c r="D92" s="64">
        <f t="shared" ca="1" si="6"/>
        <v>36</v>
      </c>
      <c r="E92" t="s">
        <v>31</v>
      </c>
      <c r="F92" t="s">
        <v>349</v>
      </c>
      <c r="G92" t="s">
        <v>358</v>
      </c>
      <c r="H92" s="63">
        <v>45183</v>
      </c>
      <c r="I92" s="62"/>
      <c r="J92" s="63"/>
      <c r="K92" s="65">
        <f t="shared" ca="1" si="7"/>
        <v>1</v>
      </c>
      <c r="L92" t="s">
        <v>372</v>
      </c>
      <c r="M92" t="s">
        <v>370</v>
      </c>
      <c r="N92" t="s">
        <v>48</v>
      </c>
      <c r="O92" s="62">
        <v>36</v>
      </c>
      <c r="P92" s="68">
        <f t="shared" si="8"/>
        <v>1</v>
      </c>
      <c r="Y92" s="55" t="str">
        <f>IF(Riepilogo!$B$1="", "", IF(ISNUMBER(SEARCH(Riepilogo!$B$1, A92)), ROW(), ""))</f>
        <v/>
      </c>
    </row>
    <row r="93" spans="1:25" ht="15" x14ac:dyDescent="0.25">
      <c r="A93" t="s">
        <v>118</v>
      </c>
      <c r="B93" t="s">
        <v>210</v>
      </c>
      <c r="C93" t="s">
        <v>309</v>
      </c>
      <c r="D93" s="64">
        <f t="shared" ca="1" si="6"/>
        <v>37</v>
      </c>
      <c r="E93" t="s">
        <v>31</v>
      </c>
      <c r="F93" t="s">
        <v>360</v>
      </c>
      <c r="G93" t="s">
        <v>27</v>
      </c>
      <c r="H93" s="63">
        <v>39539</v>
      </c>
      <c r="I93" s="62"/>
      <c r="J93" s="63"/>
      <c r="K93" s="65">
        <f t="shared" ca="1" si="7"/>
        <v>17</v>
      </c>
      <c r="L93" t="s">
        <v>368</v>
      </c>
      <c r="M93" t="s">
        <v>373</v>
      </c>
      <c r="N93" t="s">
        <v>369</v>
      </c>
      <c r="O93" s="62">
        <v>36</v>
      </c>
      <c r="P93" s="68">
        <f t="shared" si="8"/>
        <v>1</v>
      </c>
      <c r="Y93" s="55" t="str">
        <f>IF(Riepilogo!$B$1="", "", IF(ISNUMBER(SEARCH(Riepilogo!$B$1, A93)), ROW(), ""))</f>
        <v/>
      </c>
    </row>
    <row r="94" spans="1:25" ht="15" x14ac:dyDescent="0.25">
      <c r="A94" t="s">
        <v>107</v>
      </c>
      <c r="B94" t="s">
        <v>197</v>
      </c>
      <c r="C94" t="s">
        <v>296</v>
      </c>
      <c r="D94" s="64">
        <f t="shared" ca="1" si="6"/>
        <v>33</v>
      </c>
      <c r="E94" t="s">
        <v>31</v>
      </c>
      <c r="F94" t="s">
        <v>353</v>
      </c>
      <c r="G94" t="s">
        <v>354</v>
      </c>
      <c r="H94" s="63">
        <v>43773</v>
      </c>
      <c r="I94" s="62"/>
      <c r="J94" s="63"/>
      <c r="K94" s="65">
        <f t="shared" ca="1" si="7"/>
        <v>5</v>
      </c>
      <c r="L94" t="s">
        <v>372</v>
      </c>
      <c r="M94" t="s">
        <v>19</v>
      </c>
      <c r="N94" t="s">
        <v>371</v>
      </c>
      <c r="O94" s="62">
        <v>30</v>
      </c>
      <c r="P94" s="68">
        <f t="shared" si="8"/>
        <v>0.83333333333333337</v>
      </c>
      <c r="Y94" s="55" t="str">
        <f>IF(Riepilogo!$B$1="", "", IF(ISNUMBER(SEARCH(Riepilogo!$B$1, A94)), ROW(), ""))</f>
        <v/>
      </c>
    </row>
    <row r="95" spans="1:25" ht="15" x14ac:dyDescent="0.25">
      <c r="A95" t="s">
        <v>130</v>
      </c>
      <c r="B95" t="s">
        <v>227</v>
      </c>
      <c r="C95" t="s">
        <v>326</v>
      </c>
      <c r="D95" s="64">
        <f t="shared" ca="1" si="6"/>
        <v>51</v>
      </c>
      <c r="E95" t="s">
        <v>31</v>
      </c>
      <c r="F95" t="s">
        <v>359</v>
      </c>
      <c r="G95" t="s">
        <v>25</v>
      </c>
      <c r="H95" s="63">
        <v>40087</v>
      </c>
      <c r="I95" s="62"/>
      <c r="J95" s="63"/>
      <c r="K95" s="65">
        <f t="shared" ca="1" si="7"/>
        <v>15</v>
      </c>
      <c r="L95" t="s">
        <v>368</v>
      </c>
      <c r="M95" t="s">
        <v>19</v>
      </c>
      <c r="N95" t="s">
        <v>371</v>
      </c>
      <c r="O95" s="62">
        <v>36</v>
      </c>
      <c r="P95" s="68">
        <f t="shared" si="8"/>
        <v>1</v>
      </c>
      <c r="Y95" s="55" t="str">
        <f>IF(Riepilogo!$B$1="", "", IF(ISNUMBER(SEARCH(Riepilogo!$B$1, A95)), ROW(), ""))</f>
        <v/>
      </c>
    </row>
    <row r="96" spans="1:25" ht="15" x14ac:dyDescent="0.25">
      <c r="A96" t="s">
        <v>70</v>
      </c>
      <c r="B96" t="s">
        <v>156</v>
      </c>
      <c r="C96" t="s">
        <v>256</v>
      </c>
      <c r="D96" s="64">
        <f t="shared" ca="1" si="6"/>
        <v>54</v>
      </c>
      <c r="E96" t="s">
        <v>31</v>
      </c>
      <c r="F96" t="s">
        <v>356</v>
      </c>
      <c r="G96" t="s">
        <v>351</v>
      </c>
      <c r="H96" s="63">
        <v>39804</v>
      </c>
      <c r="I96" s="62"/>
      <c r="J96" s="63"/>
      <c r="K96" s="65">
        <f t="shared" ca="1" si="7"/>
        <v>16</v>
      </c>
      <c r="L96" t="s">
        <v>368</v>
      </c>
      <c r="M96" t="s">
        <v>370</v>
      </c>
      <c r="N96" t="s">
        <v>369</v>
      </c>
      <c r="O96" s="62">
        <v>30</v>
      </c>
      <c r="P96" s="68">
        <f t="shared" si="8"/>
        <v>0.83333333333333337</v>
      </c>
      <c r="Y96" s="55" t="str">
        <f>IF(Riepilogo!$B$1="", "", IF(ISNUMBER(SEARCH(Riepilogo!$B$1, A96)), ROW(), ""))</f>
        <v/>
      </c>
    </row>
    <row r="97" spans="1:25" ht="15" x14ac:dyDescent="0.25">
      <c r="A97" t="s">
        <v>387</v>
      </c>
      <c r="B97" t="s">
        <v>154</v>
      </c>
      <c r="C97" t="s">
        <v>254</v>
      </c>
      <c r="D97" s="64">
        <f t="shared" ca="1" si="6"/>
        <v>27</v>
      </c>
      <c r="E97" t="s">
        <v>31</v>
      </c>
      <c r="F97" t="s">
        <v>350</v>
      </c>
      <c r="G97" t="s">
        <v>355</v>
      </c>
      <c r="H97" s="63">
        <v>45127</v>
      </c>
      <c r="I97" s="62"/>
      <c r="J97" s="63"/>
      <c r="K97" s="65">
        <f t="shared" ca="1" si="7"/>
        <v>1</v>
      </c>
      <c r="L97" t="s">
        <v>372</v>
      </c>
      <c r="M97" t="s">
        <v>18</v>
      </c>
      <c r="N97" t="s">
        <v>369</v>
      </c>
      <c r="O97" s="62">
        <v>36</v>
      </c>
      <c r="P97" s="68">
        <f t="shared" si="8"/>
        <v>1</v>
      </c>
      <c r="Y97" s="55" t="str">
        <f>IF(Riepilogo!$B$1="", "", IF(ISNUMBER(SEARCH(Riepilogo!$B$1, A97)), ROW(), ""))</f>
        <v/>
      </c>
    </row>
    <row r="98" spans="1:25" ht="15" x14ac:dyDescent="0.25">
      <c r="A98" t="s">
        <v>386</v>
      </c>
      <c r="B98" t="s">
        <v>169</v>
      </c>
      <c r="C98" t="s">
        <v>269</v>
      </c>
      <c r="D98" s="64">
        <f t="shared" ca="1" si="6"/>
        <v>29</v>
      </c>
      <c r="E98" t="s">
        <v>31</v>
      </c>
      <c r="F98" t="s">
        <v>353</v>
      </c>
      <c r="G98" t="s">
        <v>362</v>
      </c>
      <c r="H98" s="63">
        <v>45323</v>
      </c>
      <c r="I98" s="62"/>
      <c r="J98" s="63"/>
      <c r="K98" s="65">
        <f t="shared" ca="1" si="7"/>
        <v>1</v>
      </c>
      <c r="L98" t="s">
        <v>372</v>
      </c>
      <c r="M98" t="s">
        <v>19</v>
      </c>
      <c r="N98" t="s">
        <v>371</v>
      </c>
      <c r="O98" s="62">
        <v>30</v>
      </c>
      <c r="P98" s="68">
        <f t="shared" ref="P98:P101" si="9">IF(O98&lt;=0,0,O98/36)</f>
        <v>0.83333333333333337</v>
      </c>
      <c r="R98" s="56"/>
      <c r="Y98" s="55" t="str">
        <f>IF(Riepilogo!$B$1="", "", IF(ISNUMBER(SEARCH(Riepilogo!$B$1, A98)), ROW(), ""))</f>
        <v/>
      </c>
    </row>
    <row r="99" spans="1:25" ht="15" x14ac:dyDescent="0.25">
      <c r="A99" t="s">
        <v>68</v>
      </c>
      <c r="B99" t="s">
        <v>176</v>
      </c>
      <c r="C99" t="s">
        <v>276</v>
      </c>
      <c r="D99" s="64">
        <f t="shared" ca="1" si="6"/>
        <v>39</v>
      </c>
      <c r="E99" t="s">
        <v>31</v>
      </c>
      <c r="F99" t="s">
        <v>364</v>
      </c>
      <c r="G99" t="s">
        <v>25</v>
      </c>
      <c r="H99" s="63">
        <v>42752</v>
      </c>
      <c r="I99" s="62"/>
      <c r="J99" s="63"/>
      <c r="K99" s="65">
        <f t="shared" ca="1" si="7"/>
        <v>8</v>
      </c>
      <c r="L99" t="s">
        <v>368</v>
      </c>
      <c r="M99" t="s">
        <v>373</v>
      </c>
      <c r="N99" t="s">
        <v>48</v>
      </c>
      <c r="O99" s="62">
        <v>36</v>
      </c>
      <c r="P99" s="68">
        <f t="shared" si="9"/>
        <v>1</v>
      </c>
      <c r="Y99" s="55" t="str">
        <f>IF(Riepilogo!$B$1="", "", IF(ISNUMBER(SEARCH(Riepilogo!$B$1, A99)), ROW(), ""))</f>
        <v/>
      </c>
    </row>
    <row r="100" spans="1:25" ht="15" x14ac:dyDescent="0.25">
      <c r="A100" t="s">
        <v>131</v>
      </c>
      <c r="B100" t="s">
        <v>228</v>
      </c>
      <c r="C100" t="s">
        <v>327</v>
      </c>
      <c r="D100" s="64">
        <f t="shared" ca="1" si="6"/>
        <v>25</v>
      </c>
      <c r="E100" t="s">
        <v>31</v>
      </c>
      <c r="F100" t="s">
        <v>365</v>
      </c>
      <c r="G100" t="s">
        <v>355</v>
      </c>
      <c r="H100" s="63">
        <v>44565</v>
      </c>
      <c r="I100" s="62"/>
      <c r="J100" s="63"/>
      <c r="K100" s="65">
        <f t="shared" ca="1" si="7"/>
        <v>3</v>
      </c>
      <c r="L100" t="s">
        <v>368</v>
      </c>
      <c r="M100" t="s">
        <v>370</v>
      </c>
      <c r="N100" t="s">
        <v>48</v>
      </c>
      <c r="O100" s="62">
        <v>36</v>
      </c>
      <c r="P100" s="68">
        <f t="shared" si="9"/>
        <v>1</v>
      </c>
      <c r="Y100" s="55" t="str">
        <f>IF(Riepilogo!$B$1="", "", IF(ISNUMBER(SEARCH(Riepilogo!$B$1, A100)), ROW(), ""))</f>
        <v/>
      </c>
    </row>
    <row r="101" spans="1:25" ht="15" x14ac:dyDescent="0.25">
      <c r="A101" t="s">
        <v>145</v>
      </c>
      <c r="B101" t="s">
        <v>245</v>
      </c>
      <c r="C101" t="s">
        <v>344</v>
      </c>
      <c r="D101" s="64">
        <f t="shared" ca="1" si="6"/>
        <v>53</v>
      </c>
      <c r="E101" t="s">
        <v>31</v>
      </c>
      <c r="F101" t="s">
        <v>350</v>
      </c>
      <c r="G101" t="s">
        <v>26</v>
      </c>
      <c r="H101" s="63">
        <v>44543</v>
      </c>
      <c r="I101" s="62"/>
      <c r="J101" s="63"/>
      <c r="K101" s="65">
        <f t="shared" ca="1" si="7"/>
        <v>3</v>
      </c>
      <c r="L101" t="s">
        <v>368</v>
      </c>
      <c r="M101" t="s">
        <v>373</v>
      </c>
      <c r="N101" t="s">
        <v>371</v>
      </c>
      <c r="O101" s="62">
        <v>36</v>
      </c>
      <c r="P101" s="68">
        <f t="shared" si="9"/>
        <v>1</v>
      </c>
      <c r="Y101" s="55" t="str">
        <f>IF(Riepilogo!$B$1="", "", IF(ISNUMBER(SEARCH(Riepilogo!$B$1, A101)), ROW(), ""))</f>
        <v/>
      </c>
    </row>
    <row r="102" spans="1:25" x14ac:dyDescent="0.25">
      <c r="Y102" s="55" t="str">
        <f>IF(Riepilogo!$B$1="", "", IF(ISNUMBER(SEARCH(Riepilogo!$B$1, A102)), ROW(), ""))</f>
        <v/>
      </c>
    </row>
    <row r="103" spans="1:25" x14ac:dyDescent="0.25">
      <c r="Y103" s="55" t="str">
        <f>IF(Riepilogo!$B$1="", "", IF(ISNUMBER(SEARCH(Riepilogo!$B$1, A103)), ROW(), ""))</f>
        <v/>
      </c>
    </row>
    <row r="104" spans="1:25" x14ac:dyDescent="0.25">
      <c r="Y104" s="55" t="str">
        <f>IF(Riepilogo!$B$1="", "", IF(ISNUMBER(SEARCH(Riepilogo!$B$1, A104)), ROW(), ""))</f>
        <v/>
      </c>
    </row>
    <row r="105" spans="1:25" x14ac:dyDescent="0.25">
      <c r="Y105" s="55" t="str">
        <f>IF(Riepilogo!$B$1="", "", IF(ISNUMBER(SEARCH(Riepilogo!$B$1, A105)), ROW(), ""))</f>
        <v/>
      </c>
    </row>
  </sheetData>
  <phoneticPr fontId="2" type="noConversion"/>
  <conditionalFormatting sqref="A2:A101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workbookViewId="0">
      <selection activeCell="C2" sqref="C2"/>
    </sheetView>
  </sheetViews>
  <sheetFormatPr defaultRowHeight="15" x14ac:dyDescent="0.25"/>
  <cols>
    <col min="1" max="1" width="29.140625" bestFit="1" customWidth="1"/>
    <col min="2" max="2" width="36.7109375" customWidth="1"/>
    <col min="3" max="3" width="19.28515625" bestFit="1" customWidth="1"/>
    <col min="4" max="4" width="14.5703125" bestFit="1" customWidth="1"/>
    <col min="5" max="5" width="4.7109375" bestFit="1" customWidth="1"/>
    <col min="6" max="6" width="9.140625" bestFit="1" customWidth="1"/>
    <col min="7" max="7" width="15" bestFit="1" customWidth="1"/>
    <col min="8" max="8" width="14.28515625" bestFit="1" customWidth="1"/>
    <col min="9" max="9" width="18.5703125" bestFit="1" customWidth="1"/>
    <col min="10" max="10" width="14.85546875" bestFit="1" customWidth="1"/>
    <col min="11" max="11" width="26.42578125" bestFit="1" customWidth="1"/>
    <col min="12" max="12" width="17.28515625" bestFit="1" customWidth="1"/>
    <col min="13" max="13" width="17.42578125" bestFit="1" customWidth="1"/>
    <col min="14" max="14" width="19.7109375" bestFit="1" customWidth="1"/>
    <col min="15" max="15" width="15.28515625" bestFit="1" customWidth="1"/>
    <col min="16" max="16" width="16.5703125" bestFit="1" customWidth="1"/>
  </cols>
  <sheetData>
    <row r="1" spans="1:16" x14ac:dyDescent="0.25">
      <c r="A1" s="50" t="s">
        <v>56</v>
      </c>
      <c r="B1" s="51" t="s">
        <v>388</v>
      </c>
    </row>
    <row r="4" spans="1:16" x14ac:dyDescent="0.25">
      <c r="B4" s="46" t="s">
        <v>0</v>
      </c>
      <c r="C4" s="47" t="s">
        <v>24</v>
      </c>
      <c r="D4" s="48" t="s">
        <v>17</v>
      </c>
      <c r="E4" s="47" t="s">
        <v>23</v>
      </c>
      <c r="F4" s="47" t="s">
        <v>15</v>
      </c>
      <c r="G4" s="47" t="s">
        <v>16</v>
      </c>
      <c r="H4" s="47" t="s">
        <v>11</v>
      </c>
      <c r="I4" s="48" t="s">
        <v>13</v>
      </c>
      <c r="J4" s="47" t="s">
        <v>22</v>
      </c>
      <c r="K4" s="48" t="s">
        <v>62</v>
      </c>
      <c r="L4" s="47" t="s">
        <v>36</v>
      </c>
      <c r="M4" s="47" t="s">
        <v>12</v>
      </c>
      <c r="N4" s="47" t="s">
        <v>21</v>
      </c>
      <c r="O4" s="47" t="s">
        <v>40</v>
      </c>
      <c r="P4" s="47" t="s">
        <v>20</v>
      </c>
    </row>
    <row r="5" spans="1:16" x14ac:dyDescent="0.25">
      <c r="B5" s="44" t="str">
        <f>IFERROR(INDEX(Dipendenti!A:A,SMALL(Dipendenti!$Y$2:$Y$550,ROWS($B$5:B5))), "")</f>
        <v>Elena Bruno</v>
      </c>
      <c r="C5" s="44" t="str" cm="1">
        <f t="array" ref="C5">IFERROR(INDEX(Dipendenti!B:B,SMALL(Dipendenti!$Y$2:$Y$550,ROWS($B$5:C5))), "")</f>
        <v>BRUELE96B21C351X</v>
      </c>
      <c r="D5" s="45" t="str" cm="1">
        <f t="array" ref="D5">IFERROR(INDEX(Dipendenti!C:C,SMALL(Dipendenti!$Y$2:$Y$550,ROWS($B$5:D5))), "")</f>
        <v>21-06-1996</v>
      </c>
      <c r="E5" s="44" cm="1">
        <f t="array" aca="1" ref="E5" ca="1">IFERROR(INDEX(Dipendenti!D:D,SMALL(Dipendenti!$Y$2:$Y$550,ROWS($B$5:E5))), "")</f>
        <v>28</v>
      </c>
      <c r="F5" s="44" t="str" cm="1">
        <f t="array" ref="F5">IFERROR(INDEX(Dipendenti!E:E,SMALL(Dipendenti!$Y$2:$Y$550,ROWS($B$5:F5))), "")</f>
        <v>FEMMINA</v>
      </c>
      <c r="G5" s="44" t="str" cm="1">
        <f t="array" ref="G5">IFERROR(INDEX(Dipendenti!F:F,SMALL(Dipendenti!$Y$2:$Y$550,ROWS($B$5:G5))), "")</f>
        <v>Responsabile IT</v>
      </c>
      <c r="H5" s="44" t="str" cm="1">
        <f t="array" ref="H5">IFERROR(INDEX(Dipendenti!G:G,SMALL(Dipendenti!$Y$2:$Y$550,ROWS($B$5:H5))), "")</f>
        <v>Marketing</v>
      </c>
      <c r="I5" s="45" cm="1">
        <f t="array" ref="I5">IFERROR(IF(INDEX(Dipendenti!H:H,SMALL(Dipendenti!$Y$2:$Y$550,ROWS($B$5:B5)))=0, "",
INDEX(Dipendenti!H:H,SMALL(Dipendenti!$Y$2:$Y$550,ROWS($B$5:B5)))), "")</f>
        <v>45320</v>
      </c>
      <c r="J5" s="45" t="str" cm="1">
        <f t="array" ref="J5">IFERROR(IF(INDEX(Dipendenti!I:I,SMALL(Dipendenti!$Y$2:$Y$550,ROWS($B$5:C5)))=0, "",
INDEX(Dipendenti!I:I,SMALL(Dipendenti!$Y$2:$Y$550,ROWS($B$5:C5)))), "")</f>
        <v/>
      </c>
      <c r="K5" s="45" t="str" cm="1">
        <f t="array" ref="K5">IFERROR(IF(INDEX(Dipendenti!J:J,SMALL(Dipendenti!$Y$2:$Y$550,ROWS($B$5:D5)))=0, "",
INDEX(Dipendenti!J:J,SMALL(Dipendenti!$Y$2:$Y$550,ROWS($B$5:D5)))), "")</f>
        <v/>
      </c>
      <c r="L5" s="44" cm="1">
        <f t="array" aca="1" ref="L5" ca="1">IFERROR(INDEX(Dipendenti!K:K,SMALL(Dipendenti!$Y$2:$Y$550,ROWS($B$5:L5))), "")</f>
        <v>1</v>
      </c>
      <c r="M5" s="44" t="str" cm="1">
        <f t="array" ref="M5">IFERROR(INDEX(Dipendenti!L:L,SMALL(Dipendenti!$Y$2:$Y$550,ROWS($B$5:M5))), "")</f>
        <v>tempo pieno</v>
      </c>
      <c r="N5" s="44" t="str" cm="1">
        <f t="array" ref="N5">IFERROR(INDEX(Dipendenti!M:M,SMALL(Dipendenti!$Y$2:$Y$550,ROWS($B$5:N5))), "")</f>
        <v>B2</v>
      </c>
      <c r="O5" s="44" t="str" cm="1">
        <f t="array" ref="O5">IFERROR(INDEX(Dipendenti!N:N,SMALL(Dipendenti!$Y$2:$Y$550,ROWS($B$5:O5))), "")</f>
        <v>Staff</v>
      </c>
      <c r="P5" s="49" cm="1">
        <f t="array" ref="P5">IFERROR(INDEX(Dipendenti!O:O,SMALL(Dipendenti!$Y$2:$Y$550,ROWS($B$5:P5))), "")</f>
        <v>36</v>
      </c>
    </row>
    <row r="6" spans="1:16" x14ac:dyDescent="0.25">
      <c r="B6" s="44" t="str" cm="1">
        <f t="array" ref="B6">IFERROR(INDEX(Dipendenti!A:A,SMALL(Dipendenti!$Y$2:$Y$550,ROWS($B$5:B6))), "")</f>
        <v>Elena Scirea</v>
      </c>
      <c r="C6" s="44" t="str" cm="1">
        <f t="array" ref="C6">IFERROR(INDEX(Dipendenti!B:B,SMALL(Dipendenti!$Y$2:$Y$550,ROWS($B$5:C6))), "")</f>
        <v>BRUELE02B11C351X</v>
      </c>
      <c r="D6" s="45" t="str" cm="1">
        <f t="array" ref="D6">IFERROR(INDEX(Dipendenti!C:C,SMALL(Dipendenti!$Y$2:$Y$550,ROWS($B$5:D6))), "")</f>
        <v>11-10-2002</v>
      </c>
      <c r="E6" s="44" cm="1">
        <f t="array" aca="1" ref="E6" ca="1">IFERROR(INDEX(Dipendenti!D:D,SMALL(Dipendenti!$Y$2:$Y$550,ROWS($B$5:E6))), "")</f>
        <v>22</v>
      </c>
      <c r="F6" s="44" t="str" cm="1">
        <f t="array" ref="F6">IFERROR(INDEX(Dipendenti!E:E,SMALL(Dipendenti!$Y$2:$Y$550,ROWS($B$5:F6))), "")</f>
        <v>FEMMINA</v>
      </c>
      <c r="G6" s="44" t="str" cm="1">
        <f t="array" ref="G6">IFERROR(INDEX(Dipendenti!F:F,SMALL(Dipendenti!$Y$2:$Y$550,ROWS($B$5:G6))), "")</f>
        <v>Responsabile IT</v>
      </c>
      <c r="H6" s="44" t="str" cm="1">
        <f t="array" ref="H6">IFERROR(INDEX(Dipendenti!G:G,SMALL(Dipendenti!$Y$2:$Y$550,ROWS($B$5:H6))), "")</f>
        <v>PMO</v>
      </c>
      <c r="I6" s="45" cm="1">
        <f t="array" ref="I6">IFERROR(IF(INDEX(Dipendenti!H:H,SMALL(Dipendenti!$Y$2:$Y$550,ROWS($B$5:B6)))=0, "",
INDEX(Dipendenti!H:H,SMALL(Dipendenti!$Y$2:$Y$550,ROWS($B$5:B6)))), "")</f>
        <v>40603</v>
      </c>
      <c r="J6" s="45" t="str" cm="1">
        <f t="array" ref="J6">IFERROR(IF(INDEX(Dipendenti!I:I,SMALL(Dipendenti!$Y$2:$Y$550,ROWS($B$5:C6)))=0, "",
INDEX(Dipendenti!I:I,SMALL(Dipendenti!$Y$2:$Y$550,ROWS($B$5:C6)))), "")</f>
        <v/>
      </c>
      <c r="K6" s="45" t="str" cm="1">
        <f t="array" ref="K6">IFERROR(IF(INDEX(Dipendenti!J:J,SMALL(Dipendenti!$Y$2:$Y$550,ROWS($B$5:D6)))=0, "",
INDEX(Dipendenti!J:J,SMALL(Dipendenti!$Y$2:$Y$550,ROWS($B$5:D6)))), "")</f>
        <v/>
      </c>
      <c r="L6" s="44" cm="1">
        <f t="array" aca="1" ref="L6" ca="1">IFERROR(INDEX(Dipendenti!K:K,SMALL(Dipendenti!$Y$2:$Y$550,ROWS($B$5:L6))), "")</f>
        <v>14</v>
      </c>
      <c r="M6" s="44" t="str" cm="1">
        <f t="array" ref="M6">IFERROR(INDEX(Dipendenti!L:L,SMALL(Dipendenti!$Y$2:$Y$550,ROWS($B$5:M6))), "")</f>
        <v>part-time</v>
      </c>
      <c r="N6" s="44" t="str" cm="1">
        <f t="array" ref="N6">IFERROR(INDEX(Dipendenti!M:M,SMALL(Dipendenti!$Y$2:$Y$550,ROWS($B$5:N6))), "")</f>
        <v>D4</v>
      </c>
      <c r="O6" s="44" t="str" cm="1">
        <f t="array" ref="O6">IFERROR(INDEX(Dipendenti!N:N,SMALL(Dipendenti!$Y$2:$Y$550,ROWS($B$5:O6))), "")</f>
        <v>Manager</v>
      </c>
      <c r="P6" s="49" cm="1">
        <f t="array" ref="P6">IFERROR(INDEX(Dipendenti!O:O,SMALL(Dipendenti!$Y$2:$Y$550,ROWS($B$5:P6))), "")</f>
        <v>36</v>
      </c>
    </row>
    <row r="7" spans="1:16" x14ac:dyDescent="0.25">
      <c r="B7" s="44" t="str" cm="1">
        <f t="array" ref="B7">IFERROR(INDEX(Dipendenti!A:A,SMALL(Dipendenti!$Y$2:$Y$550,ROWS($B$5:B7))), "")</f>
        <v>Elena Colombo</v>
      </c>
      <c r="C7" s="44" t="str" cm="1">
        <f t="array" ref="C7">IFERROR(INDEX(Dipendenti!B:B,SMALL(Dipendenti!$Y$2:$Y$550,ROWS($B$5:C7))), "")</f>
        <v>COLELE95B27C351X</v>
      </c>
      <c r="D7" s="45" t="str" cm="1">
        <f t="array" ref="D7">IFERROR(INDEX(Dipendenti!C:C,SMALL(Dipendenti!$Y$2:$Y$550,ROWS($B$5:D7))), "")</f>
        <v>27-05-1995</v>
      </c>
      <c r="E7" s="44" cm="1">
        <f t="array" aca="1" ref="E7" ca="1">IFERROR(INDEX(Dipendenti!D:D,SMALL(Dipendenti!$Y$2:$Y$550,ROWS($B$5:E7))), "")</f>
        <v>29</v>
      </c>
      <c r="F7" s="44" t="str" cm="1">
        <f t="array" ref="F7">IFERROR(INDEX(Dipendenti!E:E,SMALL(Dipendenti!$Y$2:$Y$550,ROWS($B$5:F7))), "")</f>
        <v>FEMMINA</v>
      </c>
      <c r="G7" s="44" t="str" cm="1">
        <f t="array" ref="G7">IFERROR(INDEX(Dipendenti!F:F,SMALL(Dipendenti!$Y$2:$Y$550,ROWS($B$5:G7))), "")</f>
        <v>Sviluppatore</v>
      </c>
      <c r="H7" s="44" t="str" cm="1">
        <f t="array" ref="H7">IFERROR(INDEX(Dipendenti!G:G,SMALL(Dipendenti!$Y$2:$Y$550,ROWS($B$5:H7))), "")</f>
        <v>R&amp;D</v>
      </c>
      <c r="I7" s="45" cm="1">
        <f t="array" ref="I7">IFERROR(IF(INDEX(Dipendenti!H:H,SMALL(Dipendenti!$Y$2:$Y$550,ROWS($B$5:B7)))=0, "",
INDEX(Dipendenti!H:H,SMALL(Dipendenti!$Y$2:$Y$550,ROWS($B$5:B7)))), "")</f>
        <v>42037</v>
      </c>
      <c r="J7" s="45" t="str" cm="1">
        <f t="array" ref="J7">IFERROR(IF(INDEX(Dipendenti!I:I,SMALL(Dipendenti!$Y$2:$Y$550,ROWS($B$5:C7)))=0, "",
INDEX(Dipendenti!I:I,SMALL(Dipendenti!$Y$2:$Y$550,ROWS($B$5:C7)))), "")</f>
        <v/>
      </c>
      <c r="K7" s="45" t="str" cm="1">
        <f t="array" ref="K7">IFERROR(IF(INDEX(Dipendenti!J:J,SMALL(Dipendenti!$Y$2:$Y$550,ROWS($B$5:D7)))=0, "",
INDEX(Dipendenti!J:J,SMALL(Dipendenti!$Y$2:$Y$550,ROWS($B$5:D7)))), "")</f>
        <v/>
      </c>
      <c r="L7" s="44" cm="1">
        <f t="array" aca="1" ref="L7" ca="1">IFERROR(INDEX(Dipendenti!K:K,SMALL(Dipendenti!$Y$2:$Y$550,ROWS($B$5:L7))), "")</f>
        <v>10</v>
      </c>
      <c r="M7" s="44" t="str" cm="1">
        <f t="array" ref="M7">IFERROR(INDEX(Dipendenti!L:L,SMALL(Dipendenti!$Y$2:$Y$550,ROWS($B$5:M7))), "")</f>
        <v>part-time</v>
      </c>
      <c r="N7" s="44" t="str" cm="1">
        <f t="array" ref="N7">IFERROR(INDEX(Dipendenti!M:M,SMALL(Dipendenti!$Y$2:$Y$550,ROWS($B$5:N7))), "")</f>
        <v>D4</v>
      </c>
      <c r="O7" s="44" t="str" cm="1">
        <f t="array" ref="O7">IFERROR(INDEX(Dipendenti!N:N,SMALL(Dipendenti!$Y$2:$Y$550,ROWS($B$5:O7))), "")</f>
        <v>Tecnico</v>
      </c>
      <c r="P7" s="49" cm="1">
        <f t="array" ref="P7">IFERROR(INDEX(Dipendenti!O:O,SMALL(Dipendenti!$Y$2:$Y$550,ROWS($B$5:P7))), "")</f>
        <v>36</v>
      </c>
    </row>
    <row r="8" spans="1:16" x14ac:dyDescent="0.25">
      <c r="B8" s="44" t="str" cm="1">
        <f t="array" ref="B8">IFERROR(INDEX(Dipendenti!A:A,SMALL(Dipendenti!$Y$2:$Y$550,ROWS($B$5:B8))), "")</f>
        <v>Elena Baggio</v>
      </c>
      <c r="C8" s="44" t="str" cm="1">
        <f t="array" ref="C8">IFERROR(INDEX(Dipendenti!B:B,SMALL(Dipendenti!$Y$2:$Y$550,ROWS($B$5:C8))), "")</f>
        <v>COLELE91B10C351X</v>
      </c>
      <c r="D8" s="45" t="str" cm="1">
        <f t="array" ref="D8">IFERROR(INDEX(Dipendenti!C:C,SMALL(Dipendenti!$Y$2:$Y$550,ROWS($B$5:D8))), "")</f>
        <v>10-10-1991</v>
      </c>
      <c r="E8" s="44" cm="1">
        <f t="array" aca="1" ref="E8" ca="1">IFERROR(INDEX(Dipendenti!D:D,SMALL(Dipendenti!$Y$2:$Y$550,ROWS($B$5:E8))), "")</f>
        <v>33</v>
      </c>
      <c r="F8" s="44" t="str" cm="1">
        <f t="array" ref="F8">IFERROR(INDEX(Dipendenti!E:E,SMALL(Dipendenti!$Y$2:$Y$550,ROWS($B$5:F8))), "")</f>
        <v>FEMMINA</v>
      </c>
      <c r="G8" s="44" t="str" cm="1">
        <f t="array" ref="G8">IFERROR(INDEX(Dipendenti!F:F,SMALL(Dipendenti!$Y$2:$Y$550,ROWS($B$5:G8))), "")</f>
        <v>Analista Dati</v>
      </c>
      <c r="H8" s="44" t="str" cm="1">
        <f t="array" ref="H8">IFERROR(INDEX(Dipendenti!G:G,SMALL(Dipendenti!$Y$2:$Y$550,ROWS($B$5:H8))), "")</f>
        <v>Logistica</v>
      </c>
      <c r="I8" s="45" cm="1">
        <f t="array" ref="I8">IFERROR(IF(INDEX(Dipendenti!H:H,SMALL(Dipendenti!$Y$2:$Y$550,ROWS($B$5:B8)))=0, "",
INDEX(Dipendenti!H:H,SMALL(Dipendenti!$Y$2:$Y$550,ROWS($B$5:B8)))), "")</f>
        <v>42324</v>
      </c>
      <c r="J8" s="45" t="str" cm="1">
        <f t="array" ref="J8">IFERROR(IF(INDEX(Dipendenti!I:I,SMALL(Dipendenti!$Y$2:$Y$550,ROWS($B$5:C8)))=0, "",
INDEX(Dipendenti!I:I,SMALL(Dipendenti!$Y$2:$Y$550,ROWS($B$5:C8)))), "")</f>
        <v/>
      </c>
      <c r="K8" s="45" t="str" cm="1">
        <f t="array" ref="K8">IFERROR(IF(INDEX(Dipendenti!J:J,SMALL(Dipendenti!$Y$2:$Y$550,ROWS($B$5:D8)))=0, "",
INDEX(Dipendenti!J:J,SMALL(Dipendenti!$Y$2:$Y$550,ROWS($B$5:D8)))), "")</f>
        <v/>
      </c>
      <c r="L8" s="44" cm="1">
        <f t="array" aca="1" ref="L8" ca="1">IFERROR(INDEX(Dipendenti!K:K,SMALL(Dipendenti!$Y$2:$Y$550,ROWS($B$5:L8))), "")</f>
        <v>9</v>
      </c>
      <c r="M8" s="44" t="str" cm="1">
        <f t="array" ref="M8">IFERROR(INDEX(Dipendenti!L:L,SMALL(Dipendenti!$Y$2:$Y$550,ROWS($B$5:M8))), "")</f>
        <v>tempo pieno</v>
      </c>
      <c r="N8" s="44" t="str" cm="1">
        <f t="array" ref="N8">IFERROR(INDEX(Dipendenti!M:M,SMALL(Dipendenti!$Y$2:$Y$550,ROWS($B$5:N8))), "")</f>
        <v>D4</v>
      </c>
      <c r="O8" s="44" t="str" cm="1">
        <f t="array" ref="O8">IFERROR(INDEX(Dipendenti!N:N,SMALL(Dipendenti!$Y$2:$Y$550,ROWS($B$5:O8))), "")</f>
        <v>Tecnico</v>
      </c>
      <c r="P8" s="49" cm="1">
        <f t="array" ref="P8">IFERROR(INDEX(Dipendenti!O:O,SMALL(Dipendenti!$Y$2:$Y$550,ROWS($B$5:P8))), "")</f>
        <v>36</v>
      </c>
    </row>
    <row r="9" spans="1:16" x14ac:dyDescent="0.25">
      <c r="B9" s="44" t="str" cm="1">
        <f t="array" ref="B9">IFERROR(INDEX(Dipendenti!A:A,SMALL(Dipendenti!$Y$2:$Y$550,ROWS($B$5:B9))), "")</f>
        <v>Elena Conti</v>
      </c>
      <c r="C9" s="44" t="str" cm="1">
        <f t="array" ref="C9">IFERROR(INDEX(Dipendenti!B:B,SMALL(Dipendenti!$Y$2:$Y$550,ROWS($B$5:C9))), "")</f>
        <v>CONELE91B21C351X</v>
      </c>
      <c r="D9" s="45" t="str" cm="1">
        <f t="array" ref="D9">IFERROR(INDEX(Dipendenti!C:C,SMALL(Dipendenti!$Y$2:$Y$550,ROWS($B$5:D9))), "")</f>
        <v>21-07-1991</v>
      </c>
      <c r="E9" s="44" cm="1">
        <f t="array" aca="1" ref="E9" ca="1">IFERROR(INDEX(Dipendenti!D:D,SMALL(Dipendenti!$Y$2:$Y$550,ROWS($B$5:E9))), "")</f>
        <v>33</v>
      </c>
      <c r="F9" s="44" t="str" cm="1">
        <f t="array" ref="F9">IFERROR(INDEX(Dipendenti!E:E,SMALL(Dipendenti!$Y$2:$Y$550,ROWS($B$5:F9))), "")</f>
        <v>FEMMINA</v>
      </c>
      <c r="G9" s="44" t="str" cm="1">
        <f t="array" ref="G9">IFERROR(INDEX(Dipendenti!F:F,SMALL(Dipendenti!$Y$2:$Y$550,ROWS($B$5:G9))), "")</f>
        <v>Business Analyst</v>
      </c>
      <c r="H9" s="44" t="str" cm="1">
        <f t="array" ref="H9">IFERROR(INDEX(Dipendenti!G:G,SMALL(Dipendenti!$Y$2:$Y$550,ROWS($B$5:H9))), "")</f>
        <v>Marketing</v>
      </c>
      <c r="I9" s="45" cm="1">
        <f t="array" ref="I9">IFERROR(IF(INDEX(Dipendenti!H:H,SMALL(Dipendenti!$Y$2:$Y$550,ROWS($B$5:B9)))=0, "",
INDEX(Dipendenti!H:H,SMALL(Dipendenti!$Y$2:$Y$550,ROWS($B$5:B9)))), "")</f>
        <v>43851</v>
      </c>
      <c r="J9" s="45" t="str" cm="1">
        <f t="array" ref="J9">IFERROR(IF(INDEX(Dipendenti!I:I,SMALL(Dipendenti!$Y$2:$Y$550,ROWS($B$5:C9)))=0, "",
INDEX(Dipendenti!I:I,SMALL(Dipendenti!$Y$2:$Y$550,ROWS($B$5:C9)))), "")</f>
        <v/>
      </c>
      <c r="K9" s="45" t="str" cm="1">
        <f t="array" ref="K9">IFERROR(IF(INDEX(Dipendenti!J:J,SMALL(Dipendenti!$Y$2:$Y$550,ROWS($B$5:D9)))=0, "",
INDEX(Dipendenti!J:J,SMALL(Dipendenti!$Y$2:$Y$550,ROWS($B$5:D9)))), "")</f>
        <v/>
      </c>
      <c r="L9" s="44" cm="1">
        <f t="array" aca="1" ref="L9" ca="1">IFERROR(INDEX(Dipendenti!K:K,SMALL(Dipendenti!$Y$2:$Y$550,ROWS($B$5:L9))), "")</f>
        <v>5</v>
      </c>
      <c r="M9" s="44" t="str" cm="1">
        <f t="array" ref="M9">IFERROR(INDEX(Dipendenti!L:L,SMALL(Dipendenti!$Y$2:$Y$550,ROWS($B$5:M9))), "")</f>
        <v>part-time</v>
      </c>
      <c r="N9" s="44" t="str" cm="1">
        <f t="array" ref="N9">IFERROR(INDEX(Dipendenti!M:M,SMALL(Dipendenti!$Y$2:$Y$550,ROWS($B$5:N9))), "")</f>
        <v>B2</v>
      </c>
      <c r="O9" s="44" t="str" cm="1">
        <f t="array" ref="O9">IFERROR(INDEX(Dipendenti!N:N,SMALL(Dipendenti!$Y$2:$Y$550,ROWS($B$5:O9))), "")</f>
        <v>Staff</v>
      </c>
      <c r="P9" s="49" cm="1">
        <f t="array" ref="P9">IFERROR(INDEX(Dipendenti!O:O,SMALL(Dipendenti!$Y$2:$Y$550,ROWS($B$5:P9))), "")</f>
        <v>36</v>
      </c>
    </row>
    <row r="10" spans="1:16" x14ac:dyDescent="0.25">
      <c r="B10" s="44" t="str" cm="1">
        <f t="array" ref="B10">IFERROR(INDEX(Dipendenti!A:A,SMALL(Dipendenti!$Y$2:$Y$550,ROWS($B$5:B10))), "")</f>
        <v>Elena Gallo</v>
      </c>
      <c r="C10" s="44" t="str" cm="1">
        <f t="array" ref="C10">IFERROR(INDEX(Dipendenti!B:B,SMALL(Dipendenti!$Y$2:$Y$550,ROWS($B$5:C10))), "")</f>
        <v>GALELE95B21C351X</v>
      </c>
      <c r="D10" s="45" t="str" cm="1">
        <f t="array" ref="D10">IFERROR(INDEX(Dipendenti!C:C,SMALL(Dipendenti!$Y$2:$Y$550,ROWS($B$5:D10))), "")</f>
        <v>21-09-1995</v>
      </c>
      <c r="E10" s="44" cm="1">
        <f t="array" aca="1" ref="E10" ca="1">IFERROR(INDEX(Dipendenti!D:D,SMALL(Dipendenti!$Y$2:$Y$550,ROWS($B$5:E10))), "")</f>
        <v>29</v>
      </c>
      <c r="F10" s="44" t="str" cm="1">
        <f t="array" ref="F10">IFERROR(INDEX(Dipendenti!E:E,SMALL(Dipendenti!$Y$2:$Y$550,ROWS($B$5:F10))), "")</f>
        <v>FEMMINA</v>
      </c>
      <c r="G10" s="44" t="str" cm="1">
        <f t="array" ref="G10">IFERROR(INDEX(Dipendenti!F:F,SMALL(Dipendenti!$Y$2:$Y$550,ROWS($B$5:G10))), "")</f>
        <v>HR Specialist</v>
      </c>
      <c r="H10" s="44" t="str" cm="1">
        <f t="array" ref="H10">IFERROR(INDEX(Dipendenti!G:G,SMALL(Dipendenti!$Y$2:$Y$550,ROWS($B$5:H10))), "")</f>
        <v>Amministrazione</v>
      </c>
      <c r="I10" s="45" cm="1">
        <f t="array" ref="I10">IFERROR(IF(INDEX(Dipendenti!H:H,SMALL(Dipendenti!$Y$2:$Y$550,ROWS($B$5:B10)))=0, "",
INDEX(Dipendenti!H:H,SMALL(Dipendenti!$Y$2:$Y$550,ROWS($B$5:B10)))), "")</f>
        <v>45090</v>
      </c>
      <c r="J10" s="45" t="str" cm="1">
        <f t="array" ref="J10">IFERROR(IF(INDEX(Dipendenti!I:I,SMALL(Dipendenti!$Y$2:$Y$550,ROWS($B$5:C10)))=0, "",
INDEX(Dipendenti!I:I,SMALL(Dipendenti!$Y$2:$Y$550,ROWS($B$5:C10)))), "")</f>
        <v/>
      </c>
      <c r="K10" s="45" t="str" cm="1">
        <f t="array" ref="K10">IFERROR(IF(INDEX(Dipendenti!J:J,SMALL(Dipendenti!$Y$2:$Y$550,ROWS($B$5:D10)))=0, "",
INDEX(Dipendenti!J:J,SMALL(Dipendenti!$Y$2:$Y$550,ROWS($B$5:D10)))), "")</f>
        <v/>
      </c>
      <c r="L10" s="44" cm="1">
        <f t="array" aca="1" ref="L10" ca="1">IFERROR(INDEX(Dipendenti!K:K,SMALL(Dipendenti!$Y$2:$Y$550,ROWS($B$5:L10))), "")</f>
        <v>1</v>
      </c>
      <c r="M10" s="44" t="str" cm="1">
        <f t="array" ref="M10">IFERROR(INDEX(Dipendenti!L:L,SMALL(Dipendenti!$Y$2:$Y$550,ROWS($B$5:M10))), "")</f>
        <v>tempo pieno</v>
      </c>
      <c r="N10" s="44" t="str" cm="1">
        <f t="array" ref="N10">IFERROR(INDEX(Dipendenti!M:M,SMALL(Dipendenti!$Y$2:$Y$550,ROWS($B$5:N10))), "")</f>
        <v>A1</v>
      </c>
      <c r="O10" s="44" t="str" cm="1">
        <f t="array" ref="O10">IFERROR(INDEX(Dipendenti!N:N,SMALL(Dipendenti!$Y$2:$Y$550,ROWS($B$5:O10))), "")</f>
        <v>Tecnico</v>
      </c>
      <c r="P10" s="49" cm="1">
        <f t="array" ref="P10">IFERROR(INDEX(Dipendenti!O:O,SMALL(Dipendenti!$Y$2:$Y$550,ROWS($B$5:P10))), "")</f>
        <v>36</v>
      </c>
    </row>
    <row r="11" spans="1:16" x14ac:dyDescent="0.25">
      <c r="B11" s="44" t="str" cm="1">
        <f t="array" ref="B11">IFERROR(INDEX(Dipendenti!A:A,SMALL(Dipendenti!$Y$2:$Y$550,ROWS($B$5:B11))), "")</f>
        <v>Elena Ricci</v>
      </c>
      <c r="C11" s="44" t="str" cm="1">
        <f t="array" ref="C11">IFERROR(INDEX(Dipendenti!B:B,SMALL(Dipendenti!$Y$2:$Y$550,ROWS($B$5:C11))), "")</f>
        <v>RICELE97B08C351X</v>
      </c>
      <c r="D11" s="45" t="str" cm="1">
        <f t="array" ref="D11">IFERROR(INDEX(Dipendenti!C:C,SMALL(Dipendenti!$Y$2:$Y$550,ROWS($B$5:D11))), "")</f>
        <v>08-06-1997</v>
      </c>
      <c r="E11" s="44" cm="1">
        <f t="array" aca="1" ref="E11" ca="1">IFERROR(INDEX(Dipendenti!D:D,SMALL(Dipendenti!$Y$2:$Y$550,ROWS($B$5:E11))), "")</f>
        <v>27</v>
      </c>
      <c r="F11" s="44" t="str" cm="1">
        <f t="array" ref="F11">IFERROR(INDEX(Dipendenti!E:E,SMALL(Dipendenti!$Y$2:$Y$550,ROWS($B$5:F11))), "")</f>
        <v>FEMMINA</v>
      </c>
      <c r="G11" s="44" t="str" cm="1">
        <f t="array" ref="G11">IFERROR(INDEX(Dipendenti!F:F,SMALL(Dipendenti!$Y$2:$Y$550,ROWS($B$5:G11))), "")</f>
        <v>Analista Dati</v>
      </c>
      <c r="H11" s="44" t="str" cm="1">
        <f t="array" ref="H11">IFERROR(INDEX(Dipendenti!G:G,SMALL(Dipendenti!$Y$2:$Y$550,ROWS($B$5:H11))), "")</f>
        <v>Marketing</v>
      </c>
      <c r="I11" s="45" cm="1">
        <f t="array" ref="I11">IFERROR(IF(INDEX(Dipendenti!H:H,SMALL(Dipendenti!$Y$2:$Y$550,ROWS($B$5:B11)))=0, "",
INDEX(Dipendenti!H:H,SMALL(Dipendenti!$Y$2:$Y$550,ROWS($B$5:B11)))), "")</f>
        <v>45299</v>
      </c>
      <c r="J11" s="45" t="str" cm="1">
        <f t="array" ref="J11">IFERROR(IF(INDEX(Dipendenti!I:I,SMALL(Dipendenti!$Y$2:$Y$550,ROWS($B$5:C11)))=0, "",
INDEX(Dipendenti!I:I,SMALL(Dipendenti!$Y$2:$Y$550,ROWS($B$5:C11)))), "")</f>
        <v/>
      </c>
      <c r="K11" s="45" t="str" cm="1">
        <f t="array" ref="K11">IFERROR(IF(INDEX(Dipendenti!J:J,SMALL(Dipendenti!$Y$2:$Y$550,ROWS($B$5:D11)))=0, "",
INDEX(Dipendenti!J:J,SMALL(Dipendenti!$Y$2:$Y$550,ROWS($B$5:D11)))), "")</f>
        <v/>
      </c>
      <c r="L11" s="44" cm="1">
        <f t="array" aca="1" ref="L11" ca="1">IFERROR(INDEX(Dipendenti!K:K,SMALL(Dipendenti!$Y$2:$Y$550,ROWS($B$5:L11))), "")</f>
        <v>1</v>
      </c>
      <c r="M11" s="44" t="str" cm="1">
        <f t="array" ref="M11">IFERROR(INDEX(Dipendenti!L:L,SMALL(Dipendenti!$Y$2:$Y$550,ROWS($B$5:M11))), "")</f>
        <v>part-time</v>
      </c>
      <c r="N11" s="44" t="str" cm="1">
        <f t="array" ref="N11">IFERROR(INDEX(Dipendenti!M:M,SMALL(Dipendenti!$Y$2:$Y$550,ROWS($B$5:N11))), "")</f>
        <v>C3</v>
      </c>
      <c r="O11" s="44" t="str" cm="1">
        <f t="array" ref="O11">IFERROR(INDEX(Dipendenti!N:N,SMALL(Dipendenti!$Y$2:$Y$550,ROWS($B$5:O11))), "")</f>
        <v>Manager</v>
      </c>
      <c r="P11" s="49" cm="1">
        <f t="array" ref="P11">IFERROR(INDEX(Dipendenti!O:O,SMALL(Dipendenti!$Y$2:$Y$550,ROWS($B$5:P11))), "")</f>
        <v>36</v>
      </c>
    </row>
    <row r="12" spans="1:16" x14ac:dyDescent="0.25">
      <c r="B12" s="44" t="str" cm="1">
        <f t="array" ref="B12">IFERROR(INDEX(Dipendenti!A:A,SMALL(Dipendenti!$Y$2:$Y$550,ROWS($B$5:B12))), "")</f>
        <v>Elena Romano</v>
      </c>
      <c r="C12" s="44" t="str" cm="1">
        <f t="array" ref="C12">IFERROR(INDEX(Dipendenti!B:B,SMALL(Dipendenti!$Y$2:$Y$550,ROWS($B$5:C12))), "")</f>
        <v>ROMELE99B06C351X</v>
      </c>
      <c r="D12" s="45" t="str" cm="1">
        <f t="array" ref="D12">IFERROR(INDEX(Dipendenti!C:C,SMALL(Dipendenti!$Y$2:$Y$550,ROWS($B$5:D12))), "")</f>
        <v>06-01-1999</v>
      </c>
      <c r="E12" s="44" cm="1">
        <f t="array" aca="1" ref="E12" ca="1">IFERROR(INDEX(Dipendenti!D:D,SMALL(Dipendenti!$Y$2:$Y$550,ROWS($B$5:E12))), "")</f>
        <v>26</v>
      </c>
      <c r="F12" s="44" t="str" cm="1">
        <f t="array" ref="F12">IFERROR(INDEX(Dipendenti!E:E,SMALL(Dipendenti!$Y$2:$Y$550,ROWS($B$5:F12))), "")</f>
        <v>FEMMINA</v>
      </c>
      <c r="G12" s="44" t="str" cm="1">
        <f t="array" ref="G12">IFERROR(INDEX(Dipendenti!F:F,SMALL(Dipendenti!$Y$2:$Y$550,ROWS($B$5:G12))), "")</f>
        <v>Sviluppatore</v>
      </c>
      <c r="H12" s="44" t="str" cm="1">
        <f t="array" ref="H12">IFERROR(INDEX(Dipendenti!G:G,SMALL(Dipendenti!$Y$2:$Y$550,ROWS($B$5:H12))), "")</f>
        <v>Amministrazione</v>
      </c>
      <c r="I12" s="45" cm="1">
        <f t="array" ref="I12">IFERROR(IF(INDEX(Dipendenti!H:H,SMALL(Dipendenti!$Y$2:$Y$550,ROWS($B$5:B12)))=0, "",
INDEX(Dipendenti!H:H,SMALL(Dipendenti!$Y$2:$Y$550,ROWS($B$5:B12)))), "")</f>
        <v>43943</v>
      </c>
      <c r="J12" s="45" t="str" cm="1">
        <f t="array" ref="J12">IFERROR(IF(INDEX(Dipendenti!I:I,SMALL(Dipendenti!$Y$2:$Y$550,ROWS($B$5:C12)))=0, "",
INDEX(Dipendenti!I:I,SMALL(Dipendenti!$Y$2:$Y$550,ROWS($B$5:C12)))), "")</f>
        <v/>
      </c>
      <c r="K12" s="45" t="str" cm="1">
        <f t="array" ref="K12">IFERROR(IF(INDEX(Dipendenti!J:J,SMALL(Dipendenti!$Y$2:$Y$550,ROWS($B$5:D12)))=0, "",
INDEX(Dipendenti!J:J,SMALL(Dipendenti!$Y$2:$Y$550,ROWS($B$5:D12)))), "")</f>
        <v/>
      </c>
      <c r="L12" s="44" cm="1">
        <f t="array" aca="1" ref="L12" ca="1">IFERROR(INDEX(Dipendenti!K:K,SMALL(Dipendenti!$Y$2:$Y$550,ROWS($B$5:L12))), "")</f>
        <v>5</v>
      </c>
      <c r="M12" s="44" t="str" cm="1">
        <f t="array" ref="M12">IFERROR(INDEX(Dipendenti!L:L,SMALL(Dipendenti!$Y$2:$Y$550,ROWS($B$5:M12))), "")</f>
        <v>part-time</v>
      </c>
      <c r="N12" s="44" t="str" cm="1">
        <f t="array" ref="N12">IFERROR(INDEX(Dipendenti!M:M,SMALL(Dipendenti!$Y$2:$Y$550,ROWS($B$5:N12))), "")</f>
        <v>D4</v>
      </c>
      <c r="O12" s="44" t="str" cm="1">
        <f t="array" ref="O12">IFERROR(INDEX(Dipendenti!N:N,SMALL(Dipendenti!$Y$2:$Y$550,ROWS($B$5:O12))), "")</f>
        <v>Staff</v>
      </c>
      <c r="P12" s="49" cm="1">
        <f t="array" ref="P12">IFERROR(INDEX(Dipendenti!O:O,SMALL(Dipendenti!$Y$2:$Y$550,ROWS($B$5:P12))), "")</f>
        <v>36</v>
      </c>
    </row>
    <row r="13" spans="1:16" x14ac:dyDescent="0.25">
      <c r="B13" s="44" t="str" cm="1">
        <f t="array" ref="B13">IFERROR(INDEX(Dipendenti!A:A,SMALL(Dipendenti!$Y$2:$Y$550,ROWS($B$5:B13))), "")</f>
        <v/>
      </c>
      <c r="C13" s="44" t="str" cm="1">
        <f t="array" ref="C13">IFERROR(INDEX(Dipendenti!B:B,SMALL(Dipendenti!$Y$2:$Y$550,ROWS($B$5:C13))), "")</f>
        <v/>
      </c>
      <c r="D13" s="45" t="str" cm="1">
        <f t="array" ref="D13">IFERROR(INDEX(Dipendenti!C:C,SMALL(Dipendenti!$Y$2:$Y$550,ROWS($B$5:D13))), "")</f>
        <v/>
      </c>
      <c r="E13" s="44" t="str" cm="1">
        <f t="array" ref="E13">IFERROR(INDEX(Dipendenti!D:D,SMALL(Dipendenti!$Y$2:$Y$550,ROWS($B$5:E13))), "")</f>
        <v/>
      </c>
      <c r="F13" s="44" t="str" cm="1">
        <f t="array" ref="F13">IFERROR(INDEX(Dipendenti!E:E,SMALL(Dipendenti!$Y$2:$Y$550,ROWS($B$5:F13))), "")</f>
        <v/>
      </c>
      <c r="G13" s="44" t="str" cm="1">
        <f t="array" ref="G13">IFERROR(INDEX(Dipendenti!F:F,SMALL(Dipendenti!$Y$2:$Y$550,ROWS($B$5:G13))), "")</f>
        <v/>
      </c>
      <c r="H13" s="44" t="str" cm="1">
        <f t="array" ref="H13">IFERROR(INDEX(Dipendenti!G:G,SMALL(Dipendenti!$Y$2:$Y$550,ROWS($B$5:H13))), "")</f>
        <v/>
      </c>
      <c r="I13" s="45" t="str" cm="1">
        <f t="array" ref="I13">IFERROR(IF(INDEX(Dipendenti!H:H,SMALL(Dipendenti!$Y$2:$Y$550,ROWS($B$5:B13)))=0, "",
INDEX(Dipendenti!H:H,SMALL(Dipendenti!$Y$2:$Y$550,ROWS($B$5:B13)))), "")</f>
        <v/>
      </c>
      <c r="J13" s="45" t="str" cm="1">
        <f t="array" ref="J13">IFERROR(IF(INDEX(Dipendenti!I:I,SMALL(Dipendenti!$Y$2:$Y$550,ROWS($B$5:C13)))=0, "",
INDEX(Dipendenti!I:I,SMALL(Dipendenti!$Y$2:$Y$550,ROWS($B$5:C13)))), "")</f>
        <v/>
      </c>
      <c r="K13" s="45" t="str" cm="1">
        <f t="array" ref="K13">IFERROR(IF(INDEX(Dipendenti!J:J,SMALL(Dipendenti!$Y$2:$Y$550,ROWS($B$5:D13)))=0, "",
INDEX(Dipendenti!J:J,SMALL(Dipendenti!$Y$2:$Y$550,ROWS($B$5:D13)))), "")</f>
        <v/>
      </c>
      <c r="L13" s="44" t="str" cm="1">
        <f t="array" ref="L13">IFERROR(INDEX(Dipendenti!K:K,SMALL(Dipendenti!$Y$2:$Y$550,ROWS($B$5:L13))), "")</f>
        <v/>
      </c>
      <c r="M13" s="44" t="str" cm="1">
        <f t="array" ref="M13">IFERROR(INDEX(Dipendenti!L:L,SMALL(Dipendenti!$Y$2:$Y$550,ROWS($B$5:M13))), "")</f>
        <v/>
      </c>
      <c r="N13" s="44" t="str" cm="1">
        <f t="array" ref="N13">IFERROR(INDEX(Dipendenti!M:M,SMALL(Dipendenti!$Y$2:$Y$550,ROWS($B$5:N13))), "")</f>
        <v/>
      </c>
      <c r="O13" s="44" t="str" cm="1">
        <f t="array" ref="O13">IFERROR(INDEX(Dipendenti!N:N,SMALL(Dipendenti!$Y$2:$Y$550,ROWS($B$5:O13))), "")</f>
        <v/>
      </c>
      <c r="P13" s="49" t="str" cm="1">
        <f t="array" ref="P13">IFERROR(INDEX(Dipendenti!O:O,SMALL(Dipendenti!$Y$2:$Y$550,ROWS($B$5:P13))), "")</f>
        <v/>
      </c>
    </row>
    <row r="14" spans="1:16" x14ac:dyDescent="0.25">
      <c r="B14" s="44" t="str" cm="1">
        <f t="array" ref="B14">IFERROR(INDEX(Dipendenti!A:A,SMALL(Dipendenti!$Y$2:$Y$550,ROWS($B$5:B14))), "")</f>
        <v/>
      </c>
      <c r="C14" s="44" t="str" cm="1">
        <f t="array" ref="C14">IFERROR(INDEX(Dipendenti!B:B,SMALL(Dipendenti!$Y$2:$Y$550,ROWS($B$5:C14))), "")</f>
        <v/>
      </c>
      <c r="D14" s="45" t="str" cm="1">
        <f t="array" ref="D14">IFERROR(INDEX(Dipendenti!C:C,SMALL(Dipendenti!$Y$2:$Y$550,ROWS($B$5:D14))), "")</f>
        <v/>
      </c>
      <c r="E14" s="44" t="str" cm="1">
        <f t="array" ref="E14">IFERROR(INDEX(Dipendenti!D:D,SMALL(Dipendenti!$Y$2:$Y$550,ROWS($B$5:E14))), "")</f>
        <v/>
      </c>
      <c r="F14" s="44" t="str" cm="1">
        <f t="array" ref="F14">IFERROR(INDEX(Dipendenti!E:E,SMALL(Dipendenti!$Y$2:$Y$550,ROWS($B$5:F14))), "")</f>
        <v/>
      </c>
      <c r="G14" s="44" t="str" cm="1">
        <f t="array" ref="G14">IFERROR(INDEX(Dipendenti!F:F,SMALL(Dipendenti!$Y$2:$Y$550,ROWS($B$5:G14))), "")</f>
        <v/>
      </c>
      <c r="H14" s="44" t="str" cm="1">
        <f t="array" ref="H14">IFERROR(INDEX(Dipendenti!G:G,SMALL(Dipendenti!$Y$2:$Y$550,ROWS($B$5:H14))), "")</f>
        <v/>
      </c>
      <c r="I14" s="45" t="str" cm="1">
        <f t="array" ref="I14">IFERROR(IF(INDEX(Dipendenti!H:H,SMALL(Dipendenti!$Y$2:$Y$550,ROWS($B$5:B14)))=0, "",
INDEX(Dipendenti!H:H,SMALL(Dipendenti!$Y$2:$Y$550,ROWS($B$5:B14)))), "")</f>
        <v/>
      </c>
      <c r="J14" s="45" t="str" cm="1">
        <f t="array" ref="J14">IFERROR(IF(INDEX(Dipendenti!I:I,SMALL(Dipendenti!$Y$2:$Y$550,ROWS($B$5:C14)))=0, "",
INDEX(Dipendenti!I:I,SMALL(Dipendenti!$Y$2:$Y$550,ROWS($B$5:C14)))), "")</f>
        <v/>
      </c>
      <c r="K14" s="45" t="str" cm="1">
        <f t="array" ref="K14">IFERROR(IF(INDEX(Dipendenti!J:J,SMALL(Dipendenti!$Y$2:$Y$550,ROWS($B$5:D14)))=0, "",
INDEX(Dipendenti!J:J,SMALL(Dipendenti!$Y$2:$Y$550,ROWS($B$5:D14)))), "")</f>
        <v/>
      </c>
      <c r="L14" s="44" t="str" cm="1">
        <f t="array" ref="L14">IFERROR(INDEX(Dipendenti!K:K,SMALL(Dipendenti!$Y$2:$Y$550,ROWS($B$5:L14))), "")</f>
        <v/>
      </c>
      <c r="M14" s="44" t="str" cm="1">
        <f t="array" ref="M14">IFERROR(INDEX(Dipendenti!L:L,SMALL(Dipendenti!$Y$2:$Y$550,ROWS($B$5:M14))), "")</f>
        <v/>
      </c>
      <c r="N14" s="44" t="str" cm="1">
        <f t="array" ref="N14">IFERROR(INDEX(Dipendenti!M:M,SMALL(Dipendenti!$Y$2:$Y$550,ROWS($B$5:N14))), "")</f>
        <v/>
      </c>
      <c r="O14" s="44" t="str" cm="1">
        <f t="array" ref="O14">IFERROR(INDEX(Dipendenti!N:N,SMALL(Dipendenti!$Y$2:$Y$550,ROWS($B$5:O14))), "")</f>
        <v/>
      </c>
      <c r="P14" s="49" t="str" cm="1">
        <f t="array" ref="P14">IFERROR(INDEX(Dipendenti!O:O,SMALL(Dipendenti!$Y$2:$Y$550,ROWS($B$5:P14))), "")</f>
        <v/>
      </c>
    </row>
    <row r="15" spans="1:16" x14ac:dyDescent="0.25">
      <c r="B15" s="44" t="str" cm="1">
        <f t="array" ref="B15">IFERROR(INDEX(Dipendenti!A:A,SMALL(Dipendenti!$Y$2:$Y$550,ROWS($B$5:B15))), "")</f>
        <v/>
      </c>
      <c r="C15" s="44" t="str" cm="1">
        <f t="array" ref="C15">IFERROR(INDEX(Dipendenti!B:B,SMALL(Dipendenti!$Y$2:$Y$550,ROWS($B$5:C15))), "")</f>
        <v/>
      </c>
      <c r="D15" s="45" t="str" cm="1">
        <f t="array" ref="D15">IFERROR(INDEX(Dipendenti!C:C,SMALL(Dipendenti!$Y$2:$Y$550,ROWS($B$5:D15))), "")</f>
        <v/>
      </c>
      <c r="E15" s="44" t="str" cm="1">
        <f t="array" ref="E15">IFERROR(INDEX(Dipendenti!D:D,SMALL(Dipendenti!$Y$2:$Y$550,ROWS($B$5:E15))), "")</f>
        <v/>
      </c>
      <c r="F15" s="44" t="str" cm="1">
        <f t="array" ref="F15">IFERROR(INDEX(Dipendenti!E:E,SMALL(Dipendenti!$Y$2:$Y$550,ROWS($B$5:F15))), "")</f>
        <v/>
      </c>
      <c r="G15" s="44" t="str" cm="1">
        <f t="array" ref="G15">IFERROR(INDEX(Dipendenti!F:F,SMALL(Dipendenti!$Y$2:$Y$550,ROWS($B$5:G15))), "")</f>
        <v/>
      </c>
      <c r="H15" s="44" t="str" cm="1">
        <f t="array" ref="H15">IFERROR(INDEX(Dipendenti!G:G,SMALL(Dipendenti!$Y$2:$Y$550,ROWS($B$5:H15))), "")</f>
        <v/>
      </c>
      <c r="I15" s="45" t="str" cm="1">
        <f t="array" ref="I15">IFERROR(IF(INDEX(Dipendenti!H:H,SMALL(Dipendenti!$Y$2:$Y$550,ROWS($B$5:B15)))=0, "",
INDEX(Dipendenti!H:H,SMALL(Dipendenti!$Y$2:$Y$550,ROWS($B$5:B15)))), "")</f>
        <v/>
      </c>
      <c r="J15" s="45" t="str" cm="1">
        <f t="array" ref="J15">IFERROR(IF(INDEX(Dipendenti!I:I,SMALL(Dipendenti!$Y$2:$Y$550,ROWS($B$5:C15)))=0, "",
INDEX(Dipendenti!I:I,SMALL(Dipendenti!$Y$2:$Y$550,ROWS($B$5:C15)))), "")</f>
        <v/>
      </c>
      <c r="K15" s="45" t="str" cm="1">
        <f t="array" ref="K15">IFERROR(IF(INDEX(Dipendenti!J:J,SMALL(Dipendenti!$Y$2:$Y$550,ROWS($B$5:D15)))=0, "",
INDEX(Dipendenti!J:J,SMALL(Dipendenti!$Y$2:$Y$550,ROWS($B$5:D15)))), "")</f>
        <v/>
      </c>
      <c r="L15" s="44" t="str" cm="1">
        <f t="array" ref="L15">IFERROR(INDEX(Dipendenti!K:K,SMALL(Dipendenti!$Y$2:$Y$550,ROWS($B$5:L15))), "")</f>
        <v/>
      </c>
      <c r="M15" s="44" t="str" cm="1">
        <f t="array" ref="M15">IFERROR(INDEX(Dipendenti!L:L,SMALL(Dipendenti!$Y$2:$Y$550,ROWS($B$5:M15))), "")</f>
        <v/>
      </c>
      <c r="N15" s="44" t="str" cm="1">
        <f t="array" ref="N15">IFERROR(INDEX(Dipendenti!M:M,SMALL(Dipendenti!$Y$2:$Y$550,ROWS($B$5:N15))), "")</f>
        <v/>
      </c>
      <c r="O15" s="44" t="str" cm="1">
        <f t="array" ref="O15">IFERROR(INDEX(Dipendenti!N:N,SMALL(Dipendenti!$Y$2:$Y$550,ROWS($B$5:O15))), "")</f>
        <v/>
      </c>
      <c r="P15" s="49" t="str" cm="1">
        <f t="array" ref="P15">IFERROR(INDEX(Dipendenti!O:O,SMALL(Dipendenti!$Y$2:$Y$550,ROWS($B$5:P15))), "")</f>
        <v/>
      </c>
    </row>
    <row r="16" spans="1:16" x14ac:dyDescent="0.25">
      <c r="B16" s="44" t="str" cm="1">
        <f t="array" ref="B16">IFERROR(INDEX(Dipendenti!A:A,SMALL(Dipendenti!$Y$2:$Y$550,ROWS($B$5:B16))), "")</f>
        <v/>
      </c>
      <c r="C16" s="44" t="str" cm="1">
        <f t="array" ref="C16">IFERROR(INDEX(Dipendenti!B:B,SMALL(Dipendenti!$Y$2:$Y$550,ROWS($B$5:C16))), "")</f>
        <v/>
      </c>
      <c r="D16" s="45" t="str" cm="1">
        <f t="array" ref="D16">IFERROR(INDEX(Dipendenti!C:C,SMALL(Dipendenti!$Y$2:$Y$550,ROWS($B$5:D16))), "")</f>
        <v/>
      </c>
      <c r="E16" s="44" t="str" cm="1">
        <f t="array" ref="E16">IFERROR(INDEX(Dipendenti!D:D,SMALL(Dipendenti!$Y$2:$Y$550,ROWS($B$5:E16))), "")</f>
        <v/>
      </c>
      <c r="F16" s="44" t="str" cm="1">
        <f t="array" ref="F16">IFERROR(INDEX(Dipendenti!E:E,SMALL(Dipendenti!$Y$2:$Y$550,ROWS($B$5:F16))), "")</f>
        <v/>
      </c>
      <c r="G16" s="44" t="str" cm="1">
        <f t="array" ref="G16">IFERROR(INDEX(Dipendenti!F:F,SMALL(Dipendenti!$Y$2:$Y$550,ROWS($B$5:G16))), "")</f>
        <v/>
      </c>
      <c r="H16" s="44" t="str" cm="1">
        <f t="array" ref="H16">IFERROR(INDEX(Dipendenti!G:G,SMALL(Dipendenti!$Y$2:$Y$550,ROWS($B$5:H16))), "")</f>
        <v/>
      </c>
      <c r="I16" s="45" t="str" cm="1">
        <f t="array" ref="I16">IFERROR(IF(INDEX(Dipendenti!H:H,SMALL(Dipendenti!$Y$2:$Y$550,ROWS($B$5:B16)))=0, "",
INDEX(Dipendenti!H:H,SMALL(Dipendenti!$Y$2:$Y$550,ROWS($B$5:B16)))), "")</f>
        <v/>
      </c>
      <c r="J16" s="45" t="str" cm="1">
        <f t="array" ref="J16">IFERROR(IF(INDEX(Dipendenti!I:I,SMALL(Dipendenti!$Y$2:$Y$550,ROWS($B$5:C16)))=0, "",
INDEX(Dipendenti!I:I,SMALL(Dipendenti!$Y$2:$Y$550,ROWS($B$5:C16)))), "")</f>
        <v/>
      </c>
      <c r="K16" s="45" t="str" cm="1">
        <f t="array" ref="K16">IFERROR(IF(INDEX(Dipendenti!J:J,SMALL(Dipendenti!$Y$2:$Y$550,ROWS($B$5:D16)))=0, "",
INDEX(Dipendenti!J:J,SMALL(Dipendenti!$Y$2:$Y$550,ROWS($B$5:D16)))), "")</f>
        <v/>
      </c>
      <c r="L16" s="44" t="str" cm="1">
        <f t="array" ref="L16">IFERROR(INDEX(Dipendenti!K:K,SMALL(Dipendenti!$Y$2:$Y$550,ROWS($B$5:L16))), "")</f>
        <v/>
      </c>
      <c r="M16" s="44" t="str" cm="1">
        <f t="array" ref="M16">IFERROR(INDEX(Dipendenti!L:L,SMALL(Dipendenti!$Y$2:$Y$550,ROWS($B$5:M16))), "")</f>
        <v/>
      </c>
      <c r="N16" s="44" t="str" cm="1">
        <f t="array" ref="N16">IFERROR(INDEX(Dipendenti!M:M,SMALL(Dipendenti!$Y$2:$Y$550,ROWS($B$5:N16))), "")</f>
        <v/>
      </c>
      <c r="O16" s="44" t="str" cm="1">
        <f t="array" ref="O16">IFERROR(INDEX(Dipendenti!N:N,SMALL(Dipendenti!$Y$2:$Y$550,ROWS($B$5:O16))), "")</f>
        <v/>
      </c>
      <c r="P16" s="49" t="str" cm="1">
        <f t="array" ref="P16">IFERROR(INDEX(Dipendenti!O:O,SMALL(Dipendenti!$Y$2:$Y$550,ROWS($B$5:P16))), "")</f>
        <v/>
      </c>
    </row>
    <row r="17" spans="2:16" x14ac:dyDescent="0.25">
      <c r="B17" s="44" t="str" cm="1">
        <f t="array" ref="B17">IFERROR(INDEX(Dipendenti!A:A,SMALL(Dipendenti!$Y$2:$Y$550,ROWS($B$5:B17))), "")</f>
        <v/>
      </c>
      <c r="C17" s="44" t="str" cm="1">
        <f t="array" ref="C17">IFERROR(INDEX(Dipendenti!B:B,SMALL(Dipendenti!$Y$2:$Y$550,ROWS($B$5:C17))), "")</f>
        <v/>
      </c>
      <c r="D17" s="45" t="str" cm="1">
        <f t="array" ref="D17">IFERROR(INDEX(Dipendenti!C:C,SMALL(Dipendenti!$Y$2:$Y$550,ROWS($B$5:D17))), "")</f>
        <v/>
      </c>
      <c r="E17" s="44" t="str" cm="1">
        <f t="array" ref="E17">IFERROR(INDEX(Dipendenti!D:D,SMALL(Dipendenti!$Y$2:$Y$550,ROWS($B$5:E17))), "")</f>
        <v/>
      </c>
      <c r="F17" s="44" t="str" cm="1">
        <f t="array" ref="F17">IFERROR(INDEX(Dipendenti!E:E,SMALL(Dipendenti!$Y$2:$Y$550,ROWS($B$5:F17))), "")</f>
        <v/>
      </c>
      <c r="G17" s="44" t="str" cm="1">
        <f t="array" ref="G17">IFERROR(INDEX(Dipendenti!F:F,SMALL(Dipendenti!$Y$2:$Y$550,ROWS($B$5:G17))), "")</f>
        <v/>
      </c>
      <c r="H17" s="44" t="str" cm="1">
        <f t="array" ref="H17">IFERROR(INDEX(Dipendenti!G:G,SMALL(Dipendenti!$Y$2:$Y$550,ROWS($B$5:H17))), "")</f>
        <v/>
      </c>
      <c r="I17" s="45" t="str" cm="1">
        <f t="array" ref="I17">IFERROR(IF(INDEX(Dipendenti!H:H,SMALL(Dipendenti!$Y$2:$Y$550,ROWS($B$5:B17)))=0, "",
INDEX(Dipendenti!H:H,SMALL(Dipendenti!$Y$2:$Y$550,ROWS($B$5:B17)))), "")</f>
        <v/>
      </c>
      <c r="J17" s="45" t="str" cm="1">
        <f t="array" ref="J17">IFERROR(IF(INDEX(Dipendenti!I:I,SMALL(Dipendenti!$Y$2:$Y$550,ROWS($B$5:C17)))=0, "",
INDEX(Dipendenti!I:I,SMALL(Dipendenti!$Y$2:$Y$550,ROWS($B$5:C17)))), "")</f>
        <v/>
      </c>
      <c r="K17" s="45" t="str" cm="1">
        <f t="array" ref="K17">IFERROR(IF(INDEX(Dipendenti!J:J,SMALL(Dipendenti!$Y$2:$Y$550,ROWS($B$5:D17)))=0, "",
INDEX(Dipendenti!J:J,SMALL(Dipendenti!$Y$2:$Y$550,ROWS($B$5:D17)))), "")</f>
        <v/>
      </c>
      <c r="L17" s="44" t="str" cm="1">
        <f t="array" ref="L17">IFERROR(INDEX(Dipendenti!K:K,SMALL(Dipendenti!$Y$2:$Y$550,ROWS($B$5:L17))), "")</f>
        <v/>
      </c>
      <c r="M17" s="44" t="str" cm="1">
        <f t="array" ref="M17">IFERROR(INDEX(Dipendenti!L:L,SMALL(Dipendenti!$Y$2:$Y$550,ROWS($B$5:M17))), "")</f>
        <v/>
      </c>
      <c r="N17" s="44" t="str" cm="1">
        <f t="array" ref="N17">IFERROR(INDEX(Dipendenti!M:M,SMALL(Dipendenti!$Y$2:$Y$550,ROWS($B$5:N17))), "")</f>
        <v/>
      </c>
      <c r="O17" s="44" t="str" cm="1">
        <f t="array" ref="O17">IFERROR(INDEX(Dipendenti!N:N,SMALL(Dipendenti!$Y$2:$Y$550,ROWS($B$5:O17))), "")</f>
        <v/>
      </c>
      <c r="P17" s="49" t="str" cm="1">
        <f t="array" ref="P17">IFERROR(INDEX(Dipendenti!O:O,SMALL(Dipendenti!$Y$2:$Y$550,ROWS($B$5:P17))), "")</f>
        <v/>
      </c>
    </row>
    <row r="18" spans="2:16" x14ac:dyDescent="0.25">
      <c r="B18" s="44" t="str" cm="1">
        <f t="array" ref="B18">IFERROR(INDEX(Dipendenti!A:A,SMALL(Dipendenti!$Y$2:$Y$550,ROWS($B$5:B18))), "")</f>
        <v/>
      </c>
      <c r="C18" s="44" t="str" cm="1">
        <f t="array" ref="C18">IFERROR(INDEX(Dipendenti!B:B,SMALL(Dipendenti!$Y$2:$Y$550,ROWS($B$5:C18))), "")</f>
        <v/>
      </c>
      <c r="D18" s="45" t="str" cm="1">
        <f t="array" ref="D18">IFERROR(INDEX(Dipendenti!C:C,SMALL(Dipendenti!$Y$2:$Y$550,ROWS($B$5:D18))), "")</f>
        <v/>
      </c>
      <c r="E18" s="44" t="str" cm="1">
        <f t="array" ref="E18">IFERROR(INDEX(Dipendenti!D:D,SMALL(Dipendenti!$Y$2:$Y$550,ROWS($B$5:E18))), "")</f>
        <v/>
      </c>
      <c r="F18" s="44" t="str" cm="1">
        <f t="array" ref="F18">IFERROR(INDEX(Dipendenti!E:E,SMALL(Dipendenti!$Y$2:$Y$550,ROWS($B$5:F18))), "")</f>
        <v/>
      </c>
      <c r="G18" s="44" t="str" cm="1">
        <f t="array" ref="G18">IFERROR(INDEX(Dipendenti!F:F,SMALL(Dipendenti!$Y$2:$Y$550,ROWS($B$5:G18))), "")</f>
        <v/>
      </c>
      <c r="H18" s="44" t="str" cm="1">
        <f t="array" ref="H18">IFERROR(INDEX(Dipendenti!G:G,SMALL(Dipendenti!$Y$2:$Y$550,ROWS($B$5:H18))), "")</f>
        <v/>
      </c>
      <c r="I18" s="45" t="str" cm="1">
        <f t="array" ref="I18">IFERROR(IF(INDEX(Dipendenti!H:H,SMALL(Dipendenti!$Y$2:$Y$550,ROWS($B$5:B18)))=0, "",
INDEX(Dipendenti!H:H,SMALL(Dipendenti!$Y$2:$Y$550,ROWS($B$5:B18)))), "")</f>
        <v/>
      </c>
      <c r="J18" s="45" t="str" cm="1">
        <f t="array" ref="J18">IFERROR(IF(INDEX(Dipendenti!I:I,SMALL(Dipendenti!$Y$2:$Y$550,ROWS($B$5:C18)))=0, "",
INDEX(Dipendenti!I:I,SMALL(Dipendenti!$Y$2:$Y$550,ROWS($B$5:C18)))), "")</f>
        <v/>
      </c>
      <c r="K18" s="45" t="str" cm="1">
        <f t="array" ref="K18">IFERROR(IF(INDEX(Dipendenti!J:J,SMALL(Dipendenti!$Y$2:$Y$550,ROWS($B$5:D18)))=0, "",
INDEX(Dipendenti!J:J,SMALL(Dipendenti!$Y$2:$Y$550,ROWS($B$5:D18)))), "")</f>
        <v/>
      </c>
      <c r="L18" s="44" t="str" cm="1">
        <f t="array" ref="L18">IFERROR(INDEX(Dipendenti!K:K,SMALL(Dipendenti!$Y$2:$Y$550,ROWS($B$5:L18))), "")</f>
        <v/>
      </c>
      <c r="M18" s="44" t="str" cm="1">
        <f t="array" ref="M18">IFERROR(INDEX(Dipendenti!L:L,SMALL(Dipendenti!$Y$2:$Y$550,ROWS($B$5:M18))), "")</f>
        <v/>
      </c>
      <c r="N18" s="44" t="str" cm="1">
        <f t="array" ref="N18">IFERROR(INDEX(Dipendenti!M:M,SMALL(Dipendenti!$Y$2:$Y$550,ROWS($B$5:N18))), "")</f>
        <v/>
      </c>
      <c r="O18" s="44" t="str" cm="1">
        <f t="array" ref="O18">IFERROR(INDEX(Dipendenti!N:N,SMALL(Dipendenti!$Y$2:$Y$550,ROWS($B$5:O18))), "")</f>
        <v/>
      </c>
      <c r="P18" s="49" t="str" cm="1">
        <f t="array" ref="P18">IFERROR(INDEX(Dipendenti!O:O,SMALL(Dipendenti!$Y$2:$Y$550,ROWS($B$5:P18))), "")</f>
        <v/>
      </c>
    </row>
    <row r="19" spans="2:16" x14ac:dyDescent="0.25">
      <c r="B19" s="44" t="str" cm="1">
        <f t="array" ref="B19">IFERROR(INDEX(Dipendenti!A:A,SMALL(Dipendenti!$Y$2:$Y$550,ROWS($B$5:B19))), "")</f>
        <v/>
      </c>
      <c r="C19" s="44" t="str" cm="1">
        <f t="array" ref="C19">IFERROR(INDEX(Dipendenti!B:B,SMALL(Dipendenti!$Y$2:$Y$550,ROWS($B$5:C19))), "")</f>
        <v/>
      </c>
      <c r="D19" s="45" t="str" cm="1">
        <f t="array" ref="D19">IFERROR(INDEX(Dipendenti!C:C,SMALL(Dipendenti!$Y$2:$Y$550,ROWS($B$5:D19))), "")</f>
        <v/>
      </c>
      <c r="E19" s="44" t="str" cm="1">
        <f t="array" ref="E19">IFERROR(INDEX(Dipendenti!D:D,SMALL(Dipendenti!$Y$2:$Y$550,ROWS($B$5:E19))), "")</f>
        <v/>
      </c>
      <c r="F19" s="44" t="str" cm="1">
        <f t="array" ref="F19">IFERROR(INDEX(Dipendenti!E:E,SMALL(Dipendenti!$Y$2:$Y$550,ROWS($B$5:F19))), "")</f>
        <v/>
      </c>
      <c r="G19" s="44" t="str" cm="1">
        <f t="array" ref="G19">IFERROR(INDEX(Dipendenti!F:F,SMALL(Dipendenti!$Y$2:$Y$550,ROWS($B$5:G19))), "")</f>
        <v/>
      </c>
      <c r="H19" s="44" t="str" cm="1">
        <f t="array" ref="H19">IFERROR(INDEX(Dipendenti!G:G,SMALL(Dipendenti!$Y$2:$Y$550,ROWS($B$5:H19))), "")</f>
        <v/>
      </c>
      <c r="I19" s="45" t="str" cm="1">
        <f t="array" ref="I19">IFERROR(IF(INDEX(Dipendenti!H:H,SMALL(Dipendenti!$Y$2:$Y$550,ROWS($B$5:B19)))=0, "",
INDEX(Dipendenti!H:H,SMALL(Dipendenti!$Y$2:$Y$550,ROWS($B$5:B19)))), "")</f>
        <v/>
      </c>
      <c r="J19" s="45" t="str" cm="1">
        <f t="array" ref="J19">IFERROR(IF(INDEX(Dipendenti!I:I,SMALL(Dipendenti!$Y$2:$Y$550,ROWS($B$5:C19)))=0, "",
INDEX(Dipendenti!I:I,SMALL(Dipendenti!$Y$2:$Y$550,ROWS($B$5:C19)))), "")</f>
        <v/>
      </c>
      <c r="K19" s="45" t="str" cm="1">
        <f t="array" ref="K19">IFERROR(IF(INDEX(Dipendenti!J:J,SMALL(Dipendenti!$Y$2:$Y$550,ROWS($B$5:D19)))=0, "",
INDEX(Dipendenti!J:J,SMALL(Dipendenti!$Y$2:$Y$550,ROWS($B$5:D19)))), "")</f>
        <v/>
      </c>
      <c r="L19" s="44" t="str" cm="1">
        <f t="array" ref="L19">IFERROR(INDEX(Dipendenti!K:K,SMALL(Dipendenti!$Y$2:$Y$550,ROWS($B$5:L19))), "")</f>
        <v/>
      </c>
      <c r="M19" s="44" t="str" cm="1">
        <f t="array" ref="M19">IFERROR(INDEX(Dipendenti!L:L,SMALL(Dipendenti!$Y$2:$Y$550,ROWS($B$5:M19))), "")</f>
        <v/>
      </c>
      <c r="N19" s="44" t="str" cm="1">
        <f t="array" ref="N19">IFERROR(INDEX(Dipendenti!M:M,SMALL(Dipendenti!$Y$2:$Y$550,ROWS($B$5:N19))), "")</f>
        <v/>
      </c>
      <c r="O19" s="44" t="str" cm="1">
        <f t="array" ref="O19">IFERROR(INDEX(Dipendenti!N:N,SMALL(Dipendenti!$Y$2:$Y$550,ROWS($B$5:O19))), "")</f>
        <v/>
      </c>
      <c r="P19" s="49" t="str" cm="1">
        <f t="array" ref="P19">IFERROR(INDEX(Dipendenti!O:O,SMALL(Dipendenti!$Y$2:$Y$550,ROWS($B$5:P19))), "")</f>
        <v/>
      </c>
    </row>
    <row r="20" spans="2:16" x14ac:dyDescent="0.25">
      <c r="B20" s="44" t="str" cm="1">
        <f t="array" ref="B20">IFERROR(INDEX(Dipendenti!A:A,SMALL(Dipendenti!$Y$2:$Y$550,ROWS($B$5:B20))), "")</f>
        <v/>
      </c>
      <c r="C20" s="44" t="str" cm="1">
        <f t="array" ref="C20">IFERROR(INDEX(Dipendenti!B:B,SMALL(Dipendenti!$Y$2:$Y$550,ROWS($B$5:C20))), "")</f>
        <v/>
      </c>
      <c r="D20" s="45" t="str" cm="1">
        <f t="array" ref="D20">IFERROR(INDEX(Dipendenti!C:C,SMALL(Dipendenti!$Y$2:$Y$550,ROWS($B$5:D20))), "")</f>
        <v/>
      </c>
      <c r="E20" s="44" t="str" cm="1">
        <f t="array" ref="E20">IFERROR(INDEX(Dipendenti!D:D,SMALL(Dipendenti!$Y$2:$Y$550,ROWS($B$5:E20))), "")</f>
        <v/>
      </c>
      <c r="F20" s="44" t="str" cm="1">
        <f t="array" ref="F20">IFERROR(INDEX(Dipendenti!E:E,SMALL(Dipendenti!$Y$2:$Y$550,ROWS($B$5:F20))), "")</f>
        <v/>
      </c>
      <c r="G20" s="44" t="str" cm="1">
        <f t="array" ref="G20">IFERROR(INDEX(Dipendenti!F:F,SMALL(Dipendenti!$Y$2:$Y$550,ROWS($B$5:G20))), "")</f>
        <v/>
      </c>
      <c r="H20" s="44" t="str" cm="1">
        <f t="array" ref="H20">IFERROR(INDEX(Dipendenti!G:G,SMALL(Dipendenti!$Y$2:$Y$550,ROWS($B$5:H20))), "")</f>
        <v/>
      </c>
      <c r="I20" s="45" t="str" cm="1">
        <f t="array" ref="I20">IFERROR(IF(INDEX(Dipendenti!H:H,SMALL(Dipendenti!$Y$2:$Y$550,ROWS($B$5:B20)))=0, "",
INDEX(Dipendenti!H:H,SMALL(Dipendenti!$Y$2:$Y$550,ROWS($B$5:B20)))), "")</f>
        <v/>
      </c>
      <c r="J20" s="45" t="str" cm="1">
        <f t="array" ref="J20">IFERROR(IF(INDEX(Dipendenti!I:I,SMALL(Dipendenti!$Y$2:$Y$550,ROWS($B$5:C20)))=0, "",
INDEX(Dipendenti!I:I,SMALL(Dipendenti!$Y$2:$Y$550,ROWS($B$5:C20)))), "")</f>
        <v/>
      </c>
      <c r="K20" s="45" t="str" cm="1">
        <f t="array" ref="K20">IFERROR(IF(INDEX(Dipendenti!J:J,SMALL(Dipendenti!$Y$2:$Y$550,ROWS($B$5:D20)))=0, "",
INDEX(Dipendenti!J:J,SMALL(Dipendenti!$Y$2:$Y$550,ROWS($B$5:D20)))), "")</f>
        <v/>
      </c>
      <c r="L20" s="44" t="str" cm="1">
        <f t="array" ref="L20">IFERROR(INDEX(Dipendenti!K:K,SMALL(Dipendenti!$Y$2:$Y$550,ROWS($B$5:L20))), "")</f>
        <v/>
      </c>
      <c r="M20" s="44" t="str" cm="1">
        <f t="array" ref="M20">IFERROR(INDEX(Dipendenti!L:L,SMALL(Dipendenti!$Y$2:$Y$550,ROWS($B$5:M20))), "")</f>
        <v/>
      </c>
      <c r="N20" s="44" t="str" cm="1">
        <f t="array" ref="N20">IFERROR(INDEX(Dipendenti!M:M,SMALL(Dipendenti!$Y$2:$Y$550,ROWS($B$5:N20))), "")</f>
        <v/>
      </c>
      <c r="O20" s="44" t="str" cm="1">
        <f t="array" ref="O20">IFERROR(INDEX(Dipendenti!N:N,SMALL(Dipendenti!$Y$2:$Y$550,ROWS($B$5:O20))), "")</f>
        <v/>
      </c>
      <c r="P20" s="49" t="str" cm="1">
        <f t="array" ref="P20">IFERROR(INDEX(Dipendenti!O:O,SMALL(Dipendenti!$Y$2:$Y$550,ROWS($B$5:P20))), "")</f>
        <v/>
      </c>
    </row>
    <row r="21" spans="2:16" x14ac:dyDescent="0.25">
      <c r="B21" s="44" t="str" cm="1">
        <f t="array" ref="B21">IFERROR(INDEX(Dipendenti!A:A,SMALL(Dipendenti!$Y$2:$Y$550,ROWS($B$5:B21))), "")</f>
        <v/>
      </c>
      <c r="C21" s="44" t="str" cm="1">
        <f t="array" ref="C21">IFERROR(INDEX(Dipendenti!B:B,SMALL(Dipendenti!$Y$2:$Y$550,ROWS($B$5:C21))), "")</f>
        <v/>
      </c>
      <c r="D21" s="45" t="str" cm="1">
        <f t="array" ref="D21">IFERROR(INDEX(Dipendenti!C:C,SMALL(Dipendenti!$Y$2:$Y$550,ROWS($B$5:D21))), "")</f>
        <v/>
      </c>
      <c r="E21" s="44" t="str" cm="1">
        <f t="array" ref="E21">IFERROR(INDEX(Dipendenti!D:D,SMALL(Dipendenti!$Y$2:$Y$550,ROWS($B$5:E21))), "")</f>
        <v/>
      </c>
      <c r="F21" s="44" t="str" cm="1">
        <f t="array" ref="F21">IFERROR(INDEX(Dipendenti!E:E,SMALL(Dipendenti!$Y$2:$Y$550,ROWS($B$5:F21))), "")</f>
        <v/>
      </c>
      <c r="G21" s="44" t="str" cm="1">
        <f t="array" ref="G21">IFERROR(INDEX(Dipendenti!F:F,SMALL(Dipendenti!$Y$2:$Y$550,ROWS($B$5:G21))), "")</f>
        <v/>
      </c>
      <c r="H21" s="44" t="str" cm="1">
        <f t="array" ref="H21">IFERROR(INDEX(Dipendenti!G:G,SMALL(Dipendenti!$Y$2:$Y$550,ROWS($B$5:H21))), "")</f>
        <v/>
      </c>
      <c r="I21" s="45" t="str" cm="1">
        <f t="array" ref="I21">IFERROR(IF(INDEX(Dipendenti!H:H,SMALL(Dipendenti!$Y$2:$Y$550,ROWS($B$5:B21)))=0, "",
INDEX(Dipendenti!H:H,SMALL(Dipendenti!$Y$2:$Y$550,ROWS($B$5:B21)))), "")</f>
        <v/>
      </c>
      <c r="J21" s="45" t="str" cm="1">
        <f t="array" ref="J21">IFERROR(IF(INDEX(Dipendenti!I:I,SMALL(Dipendenti!$Y$2:$Y$550,ROWS($B$5:C21)))=0, "",
INDEX(Dipendenti!I:I,SMALL(Dipendenti!$Y$2:$Y$550,ROWS($B$5:C21)))), "")</f>
        <v/>
      </c>
      <c r="K21" s="45" t="str" cm="1">
        <f t="array" ref="K21">IFERROR(IF(INDEX(Dipendenti!J:J,SMALL(Dipendenti!$Y$2:$Y$550,ROWS($B$5:D21)))=0, "",
INDEX(Dipendenti!J:J,SMALL(Dipendenti!$Y$2:$Y$550,ROWS($B$5:D21)))), "")</f>
        <v/>
      </c>
      <c r="L21" s="44" t="str" cm="1">
        <f t="array" ref="L21">IFERROR(INDEX(Dipendenti!K:K,SMALL(Dipendenti!$Y$2:$Y$550,ROWS($B$5:L21))), "")</f>
        <v/>
      </c>
      <c r="M21" s="44" t="str" cm="1">
        <f t="array" ref="M21">IFERROR(INDEX(Dipendenti!L:L,SMALL(Dipendenti!$Y$2:$Y$550,ROWS($B$5:M21))), "")</f>
        <v/>
      </c>
      <c r="N21" s="44" t="str" cm="1">
        <f t="array" ref="N21">IFERROR(INDEX(Dipendenti!M:M,SMALL(Dipendenti!$Y$2:$Y$550,ROWS($B$5:N21))), "")</f>
        <v/>
      </c>
      <c r="O21" s="44" t="str" cm="1">
        <f t="array" ref="O21">IFERROR(INDEX(Dipendenti!N:N,SMALL(Dipendenti!$Y$2:$Y$550,ROWS($B$5:O21))), "")</f>
        <v/>
      </c>
      <c r="P21" s="49" t="str" cm="1">
        <f t="array" ref="P21">IFERROR(INDEX(Dipendenti!O:O,SMALL(Dipendenti!$Y$2:$Y$550,ROWS($B$5:P21))), "")</f>
        <v/>
      </c>
    </row>
    <row r="22" spans="2:16" x14ac:dyDescent="0.25">
      <c r="B22" s="44" t="str" cm="1">
        <f t="array" ref="B22">IFERROR(INDEX(Dipendenti!A:A,SMALL(Dipendenti!$Y$2:$Y$550,ROWS($B$5:B22))), "")</f>
        <v/>
      </c>
      <c r="C22" s="44" t="str" cm="1">
        <f t="array" ref="C22">IFERROR(INDEX(Dipendenti!B:B,SMALL(Dipendenti!$Y$2:$Y$550,ROWS($B$5:C22))), "")</f>
        <v/>
      </c>
      <c r="D22" s="45" t="str" cm="1">
        <f t="array" ref="D22">IFERROR(INDEX(Dipendenti!C:C,SMALL(Dipendenti!$Y$2:$Y$550,ROWS($B$5:D22))), "")</f>
        <v/>
      </c>
      <c r="E22" s="44" t="str" cm="1">
        <f t="array" ref="E22">IFERROR(INDEX(Dipendenti!D:D,SMALL(Dipendenti!$Y$2:$Y$550,ROWS($B$5:E22))), "")</f>
        <v/>
      </c>
      <c r="F22" s="44" t="str" cm="1">
        <f t="array" ref="F22">IFERROR(INDEX(Dipendenti!E:E,SMALL(Dipendenti!$Y$2:$Y$550,ROWS($B$5:F22))), "")</f>
        <v/>
      </c>
      <c r="G22" s="44" t="str" cm="1">
        <f t="array" ref="G22">IFERROR(INDEX(Dipendenti!F:F,SMALL(Dipendenti!$Y$2:$Y$550,ROWS($B$5:G22))), "")</f>
        <v/>
      </c>
      <c r="H22" s="44" t="str" cm="1">
        <f t="array" ref="H22">IFERROR(INDEX(Dipendenti!G:G,SMALL(Dipendenti!$Y$2:$Y$550,ROWS($B$5:H22))), "")</f>
        <v/>
      </c>
      <c r="I22" s="45" t="str" cm="1">
        <f t="array" ref="I22">IFERROR(IF(INDEX(Dipendenti!H:H,SMALL(Dipendenti!$Y$2:$Y$550,ROWS($B$5:B22)))=0, "",
INDEX(Dipendenti!H:H,SMALL(Dipendenti!$Y$2:$Y$550,ROWS($B$5:B22)))), "")</f>
        <v/>
      </c>
      <c r="J22" s="45" t="str" cm="1">
        <f t="array" ref="J22">IFERROR(IF(INDEX(Dipendenti!I:I,SMALL(Dipendenti!$Y$2:$Y$550,ROWS($B$5:C22)))=0, "",
INDEX(Dipendenti!I:I,SMALL(Dipendenti!$Y$2:$Y$550,ROWS($B$5:C22)))), "")</f>
        <v/>
      </c>
      <c r="K22" s="45" t="str" cm="1">
        <f t="array" ref="K22">IFERROR(IF(INDEX(Dipendenti!J:J,SMALL(Dipendenti!$Y$2:$Y$550,ROWS($B$5:D22)))=0, "",
INDEX(Dipendenti!J:J,SMALL(Dipendenti!$Y$2:$Y$550,ROWS($B$5:D22)))), "")</f>
        <v/>
      </c>
      <c r="L22" s="44" t="str" cm="1">
        <f t="array" ref="L22">IFERROR(INDEX(Dipendenti!K:K,SMALL(Dipendenti!$Y$2:$Y$550,ROWS($B$5:L22))), "")</f>
        <v/>
      </c>
      <c r="M22" s="44" t="str" cm="1">
        <f t="array" ref="M22">IFERROR(INDEX(Dipendenti!L:L,SMALL(Dipendenti!$Y$2:$Y$550,ROWS($B$5:M22))), "")</f>
        <v/>
      </c>
      <c r="N22" s="44" t="str" cm="1">
        <f t="array" ref="N22">IFERROR(INDEX(Dipendenti!M:M,SMALL(Dipendenti!$Y$2:$Y$550,ROWS($B$5:N22))), "")</f>
        <v/>
      </c>
      <c r="O22" s="44" t="str" cm="1">
        <f t="array" ref="O22">IFERROR(INDEX(Dipendenti!N:N,SMALL(Dipendenti!$Y$2:$Y$550,ROWS($B$5:O22))), "")</f>
        <v/>
      </c>
      <c r="P22" s="49" t="str" cm="1">
        <f t="array" ref="P22">IFERROR(INDEX(Dipendenti!O:O,SMALL(Dipendenti!$Y$2:$Y$550,ROWS($B$5:P22))), "")</f>
        <v/>
      </c>
    </row>
    <row r="23" spans="2:16" x14ac:dyDescent="0.25">
      <c r="B23" s="44" t="str" cm="1">
        <f t="array" ref="B23">IFERROR(INDEX(Dipendenti!A:A,SMALL(Dipendenti!$Y$2:$Y$550,ROWS($B$5:B23))), "")</f>
        <v/>
      </c>
      <c r="C23" s="44" t="str" cm="1">
        <f t="array" ref="C23">IFERROR(INDEX(Dipendenti!B:B,SMALL(Dipendenti!$Y$2:$Y$550,ROWS($B$5:C23))), "")</f>
        <v/>
      </c>
      <c r="D23" s="45" t="str" cm="1">
        <f t="array" ref="D23">IFERROR(INDEX(Dipendenti!C:C,SMALL(Dipendenti!$Y$2:$Y$550,ROWS($B$5:D23))), "")</f>
        <v/>
      </c>
      <c r="E23" s="44" t="str" cm="1">
        <f t="array" ref="E23">IFERROR(INDEX(Dipendenti!D:D,SMALL(Dipendenti!$Y$2:$Y$550,ROWS($B$5:E23))), "")</f>
        <v/>
      </c>
      <c r="F23" s="44" t="str" cm="1">
        <f t="array" ref="F23">IFERROR(INDEX(Dipendenti!E:E,SMALL(Dipendenti!$Y$2:$Y$550,ROWS($B$5:F23))), "")</f>
        <v/>
      </c>
      <c r="G23" s="44" t="str" cm="1">
        <f t="array" ref="G23">IFERROR(INDEX(Dipendenti!F:F,SMALL(Dipendenti!$Y$2:$Y$550,ROWS($B$5:G23))), "")</f>
        <v/>
      </c>
      <c r="H23" s="44" t="str" cm="1">
        <f t="array" ref="H23">IFERROR(INDEX(Dipendenti!G:G,SMALL(Dipendenti!$Y$2:$Y$550,ROWS($B$5:H23))), "")</f>
        <v/>
      </c>
      <c r="I23" s="45" t="str" cm="1">
        <f t="array" ref="I23">IFERROR(IF(INDEX(Dipendenti!H:H,SMALL(Dipendenti!$Y$2:$Y$550,ROWS($B$5:B23)))=0, "",
INDEX(Dipendenti!H:H,SMALL(Dipendenti!$Y$2:$Y$550,ROWS($B$5:B23)))), "")</f>
        <v/>
      </c>
      <c r="J23" s="45" t="str" cm="1">
        <f t="array" ref="J23">IFERROR(IF(INDEX(Dipendenti!I:I,SMALL(Dipendenti!$Y$2:$Y$550,ROWS($B$5:C23)))=0, "",
INDEX(Dipendenti!I:I,SMALL(Dipendenti!$Y$2:$Y$550,ROWS($B$5:C23)))), "")</f>
        <v/>
      </c>
      <c r="K23" s="45" t="str" cm="1">
        <f t="array" ref="K23">IFERROR(IF(INDEX(Dipendenti!J:J,SMALL(Dipendenti!$Y$2:$Y$550,ROWS($B$5:D23)))=0, "",
INDEX(Dipendenti!J:J,SMALL(Dipendenti!$Y$2:$Y$550,ROWS($B$5:D23)))), "")</f>
        <v/>
      </c>
      <c r="L23" s="44" t="str" cm="1">
        <f t="array" ref="L23">IFERROR(INDEX(Dipendenti!K:K,SMALL(Dipendenti!$Y$2:$Y$550,ROWS($B$5:L23))), "")</f>
        <v/>
      </c>
      <c r="M23" s="44" t="str" cm="1">
        <f t="array" ref="M23">IFERROR(INDEX(Dipendenti!L:L,SMALL(Dipendenti!$Y$2:$Y$550,ROWS($B$5:M23))), "")</f>
        <v/>
      </c>
      <c r="N23" s="44" t="str" cm="1">
        <f t="array" ref="N23">IFERROR(INDEX(Dipendenti!M:M,SMALL(Dipendenti!$Y$2:$Y$550,ROWS($B$5:N23))), "")</f>
        <v/>
      </c>
      <c r="O23" s="44" t="str" cm="1">
        <f t="array" ref="O23">IFERROR(INDEX(Dipendenti!N:N,SMALL(Dipendenti!$Y$2:$Y$550,ROWS($B$5:O23))), "")</f>
        <v/>
      </c>
      <c r="P23" s="49" t="str" cm="1">
        <f t="array" ref="P23">IFERROR(INDEX(Dipendenti!O:O,SMALL(Dipendenti!$Y$2:$Y$550,ROWS($B$5:P23))), "")</f>
        <v/>
      </c>
    </row>
    <row r="24" spans="2:16" x14ac:dyDescent="0.25">
      <c r="B24" s="44" t="str" cm="1">
        <f t="array" ref="B24">IFERROR(INDEX(Dipendenti!A:A,SMALL(Dipendenti!$Y$2:$Y$550,ROWS($B$5:B24))), "")</f>
        <v/>
      </c>
      <c r="C24" s="44" t="str" cm="1">
        <f t="array" ref="C24">IFERROR(INDEX(Dipendenti!B:B,SMALL(Dipendenti!$Y$2:$Y$550,ROWS($B$5:C24))), "")</f>
        <v/>
      </c>
      <c r="D24" s="45" t="str" cm="1">
        <f t="array" ref="D24">IFERROR(INDEX(Dipendenti!C:C,SMALL(Dipendenti!$Y$2:$Y$550,ROWS($B$5:D24))), "")</f>
        <v/>
      </c>
      <c r="E24" s="44" t="str" cm="1">
        <f t="array" ref="E24">IFERROR(INDEX(Dipendenti!D:D,SMALL(Dipendenti!$Y$2:$Y$550,ROWS($B$5:E24))), "")</f>
        <v/>
      </c>
      <c r="F24" s="44" t="str" cm="1">
        <f t="array" ref="F24">IFERROR(INDEX(Dipendenti!E:E,SMALL(Dipendenti!$Y$2:$Y$550,ROWS($B$5:F24))), "")</f>
        <v/>
      </c>
      <c r="G24" s="44" t="str" cm="1">
        <f t="array" ref="G24">IFERROR(INDEX(Dipendenti!F:F,SMALL(Dipendenti!$Y$2:$Y$550,ROWS($B$5:G24))), "")</f>
        <v/>
      </c>
      <c r="H24" s="44" t="str" cm="1">
        <f t="array" ref="H24">IFERROR(INDEX(Dipendenti!G:G,SMALL(Dipendenti!$Y$2:$Y$550,ROWS($B$5:H24))), "")</f>
        <v/>
      </c>
      <c r="I24" s="45" t="str" cm="1">
        <f t="array" ref="I24">IFERROR(IF(INDEX(Dipendenti!H:H,SMALL(Dipendenti!$Y$2:$Y$550,ROWS($B$5:B24)))=0, "",
INDEX(Dipendenti!H:H,SMALL(Dipendenti!$Y$2:$Y$550,ROWS($B$5:B24)))), "")</f>
        <v/>
      </c>
      <c r="J24" s="45" t="str" cm="1">
        <f t="array" ref="J24">IFERROR(IF(INDEX(Dipendenti!I:I,SMALL(Dipendenti!$Y$2:$Y$550,ROWS($B$5:C24)))=0, "",
INDEX(Dipendenti!I:I,SMALL(Dipendenti!$Y$2:$Y$550,ROWS($B$5:C24)))), "")</f>
        <v/>
      </c>
      <c r="K24" s="45" t="str" cm="1">
        <f t="array" ref="K24">IFERROR(IF(INDEX(Dipendenti!J:J,SMALL(Dipendenti!$Y$2:$Y$550,ROWS($B$5:D24)))=0, "",
INDEX(Dipendenti!J:J,SMALL(Dipendenti!$Y$2:$Y$550,ROWS($B$5:D24)))), "")</f>
        <v/>
      </c>
      <c r="L24" s="44" t="str" cm="1">
        <f t="array" ref="L24">IFERROR(INDEX(Dipendenti!K:K,SMALL(Dipendenti!$Y$2:$Y$550,ROWS($B$5:L24))), "")</f>
        <v/>
      </c>
      <c r="M24" s="44" t="str" cm="1">
        <f t="array" ref="M24">IFERROR(INDEX(Dipendenti!L:L,SMALL(Dipendenti!$Y$2:$Y$550,ROWS($B$5:M24))), "")</f>
        <v/>
      </c>
      <c r="N24" s="44" t="str" cm="1">
        <f t="array" ref="N24">IFERROR(INDEX(Dipendenti!M:M,SMALL(Dipendenti!$Y$2:$Y$550,ROWS($B$5:N24))), "")</f>
        <v/>
      </c>
      <c r="O24" s="44" t="str" cm="1">
        <f t="array" ref="O24">IFERROR(INDEX(Dipendenti!N:N,SMALL(Dipendenti!$Y$2:$Y$550,ROWS($B$5:O24))), "")</f>
        <v/>
      </c>
      <c r="P24" s="49" t="str" cm="1">
        <f t="array" ref="P24">IFERROR(INDEX(Dipendenti!O:O,SMALL(Dipendenti!$Y$2:$Y$550,ROWS($B$5:P24))), "")</f>
        <v/>
      </c>
    </row>
    <row r="25" spans="2:16" x14ac:dyDescent="0.25">
      <c r="B25" s="44" t="str" cm="1">
        <f t="array" ref="B25">IFERROR(INDEX(Dipendenti!A:A,SMALL(Dipendenti!$Y$2:$Y$550,ROWS($B$5:B25))), "")</f>
        <v/>
      </c>
      <c r="C25" s="44" t="str" cm="1">
        <f t="array" ref="C25">IFERROR(INDEX(Dipendenti!B:B,SMALL(Dipendenti!$Y$2:$Y$550,ROWS($B$5:C25))), "")</f>
        <v/>
      </c>
      <c r="D25" s="45" t="str" cm="1">
        <f t="array" ref="D25">IFERROR(INDEX(Dipendenti!C:C,SMALL(Dipendenti!$Y$2:$Y$550,ROWS($B$5:D25))), "")</f>
        <v/>
      </c>
      <c r="E25" s="44" t="str" cm="1">
        <f t="array" ref="E25">IFERROR(INDEX(Dipendenti!D:D,SMALL(Dipendenti!$Y$2:$Y$550,ROWS($B$5:E25))), "")</f>
        <v/>
      </c>
      <c r="F25" s="44" t="str" cm="1">
        <f t="array" ref="F25">IFERROR(INDEX(Dipendenti!E:E,SMALL(Dipendenti!$Y$2:$Y$550,ROWS($B$5:F25))), "")</f>
        <v/>
      </c>
      <c r="G25" s="44" t="str" cm="1">
        <f t="array" ref="G25">IFERROR(INDEX(Dipendenti!F:F,SMALL(Dipendenti!$Y$2:$Y$550,ROWS($B$5:G25))), "")</f>
        <v/>
      </c>
      <c r="H25" s="44" t="str" cm="1">
        <f t="array" ref="H25">IFERROR(INDEX(Dipendenti!G:G,SMALL(Dipendenti!$Y$2:$Y$550,ROWS($B$5:H25))), "")</f>
        <v/>
      </c>
      <c r="I25" s="45" t="str" cm="1">
        <f t="array" ref="I25">IFERROR(IF(INDEX(Dipendenti!H:H,SMALL(Dipendenti!$Y$2:$Y$550,ROWS($B$5:B25)))=0, "",
INDEX(Dipendenti!H:H,SMALL(Dipendenti!$Y$2:$Y$550,ROWS($B$5:B25)))), "")</f>
        <v/>
      </c>
      <c r="J25" s="45" t="str" cm="1">
        <f t="array" ref="J25">IFERROR(IF(INDEX(Dipendenti!I:I,SMALL(Dipendenti!$Y$2:$Y$550,ROWS($B$5:C25)))=0, "",
INDEX(Dipendenti!I:I,SMALL(Dipendenti!$Y$2:$Y$550,ROWS($B$5:C25)))), "")</f>
        <v/>
      </c>
      <c r="K25" s="45" t="str" cm="1">
        <f t="array" ref="K25">IFERROR(IF(INDEX(Dipendenti!J:J,SMALL(Dipendenti!$Y$2:$Y$550,ROWS($B$5:D25)))=0, "",
INDEX(Dipendenti!J:J,SMALL(Dipendenti!$Y$2:$Y$550,ROWS($B$5:D25)))), "")</f>
        <v/>
      </c>
      <c r="L25" s="44" t="str" cm="1">
        <f t="array" ref="L25">IFERROR(INDEX(Dipendenti!K:K,SMALL(Dipendenti!$Y$2:$Y$550,ROWS($B$5:L25))), "")</f>
        <v/>
      </c>
      <c r="M25" s="44" t="str" cm="1">
        <f t="array" ref="M25">IFERROR(INDEX(Dipendenti!L:L,SMALL(Dipendenti!$Y$2:$Y$550,ROWS($B$5:M25))), "")</f>
        <v/>
      </c>
      <c r="N25" s="44" t="str" cm="1">
        <f t="array" ref="N25">IFERROR(INDEX(Dipendenti!M:M,SMALL(Dipendenti!$Y$2:$Y$550,ROWS($B$5:N25))), "")</f>
        <v/>
      </c>
      <c r="O25" s="44" t="str" cm="1">
        <f t="array" ref="O25">IFERROR(INDEX(Dipendenti!N:N,SMALL(Dipendenti!$Y$2:$Y$550,ROWS($B$5:O25))), "")</f>
        <v/>
      </c>
      <c r="P25" s="49" t="str" cm="1">
        <f t="array" ref="P25">IFERROR(INDEX(Dipendenti!O:O,SMALL(Dipendenti!$Y$2:$Y$550,ROWS($B$5:P25))), "")</f>
        <v/>
      </c>
    </row>
    <row r="26" spans="2:16" x14ac:dyDescent="0.25">
      <c r="B26" s="44" t="str" cm="1">
        <f t="array" ref="B26">IFERROR(INDEX(Dipendenti!A:A,SMALL(Dipendenti!$Y$2:$Y$550,ROWS($B$5:B26))), "")</f>
        <v/>
      </c>
      <c r="C26" s="44" t="str" cm="1">
        <f t="array" ref="C26">IFERROR(INDEX(Dipendenti!B:B,SMALL(Dipendenti!$Y$2:$Y$550,ROWS($B$5:C26))), "")</f>
        <v/>
      </c>
      <c r="D26" s="45" t="str" cm="1">
        <f t="array" ref="D26">IFERROR(INDEX(Dipendenti!C:C,SMALL(Dipendenti!$Y$2:$Y$550,ROWS($B$5:D26))), "")</f>
        <v/>
      </c>
      <c r="E26" s="44" t="str" cm="1">
        <f t="array" ref="E26">IFERROR(INDEX(Dipendenti!D:D,SMALL(Dipendenti!$Y$2:$Y$550,ROWS($B$5:E26))), "")</f>
        <v/>
      </c>
      <c r="F26" s="44" t="str" cm="1">
        <f t="array" ref="F26">IFERROR(INDEX(Dipendenti!E:E,SMALL(Dipendenti!$Y$2:$Y$550,ROWS($B$5:F26))), "")</f>
        <v/>
      </c>
      <c r="G26" s="44" t="str" cm="1">
        <f t="array" ref="G26">IFERROR(INDEX(Dipendenti!F:F,SMALL(Dipendenti!$Y$2:$Y$550,ROWS($B$5:G26))), "")</f>
        <v/>
      </c>
      <c r="H26" s="44" t="str" cm="1">
        <f t="array" ref="H26">IFERROR(INDEX(Dipendenti!G:G,SMALL(Dipendenti!$Y$2:$Y$550,ROWS($B$5:H26))), "")</f>
        <v/>
      </c>
      <c r="I26" s="45" t="str" cm="1">
        <f t="array" ref="I26">IFERROR(IF(INDEX(Dipendenti!H:H,SMALL(Dipendenti!$Y$2:$Y$550,ROWS($B$5:B26)))=0, "",
INDEX(Dipendenti!H:H,SMALL(Dipendenti!$Y$2:$Y$550,ROWS($B$5:B26)))), "")</f>
        <v/>
      </c>
      <c r="J26" s="45" t="str" cm="1">
        <f t="array" ref="J26">IFERROR(IF(INDEX(Dipendenti!I:I,SMALL(Dipendenti!$Y$2:$Y$550,ROWS($B$5:C26)))=0, "",
INDEX(Dipendenti!I:I,SMALL(Dipendenti!$Y$2:$Y$550,ROWS($B$5:C26)))), "")</f>
        <v/>
      </c>
      <c r="K26" s="45" t="str" cm="1">
        <f t="array" ref="K26">IFERROR(IF(INDEX(Dipendenti!J:J,SMALL(Dipendenti!$Y$2:$Y$550,ROWS($B$5:D26)))=0, "",
INDEX(Dipendenti!J:J,SMALL(Dipendenti!$Y$2:$Y$550,ROWS($B$5:D26)))), "")</f>
        <v/>
      </c>
      <c r="L26" s="44" t="str" cm="1">
        <f t="array" ref="L26">IFERROR(INDEX(Dipendenti!K:K,SMALL(Dipendenti!$Y$2:$Y$550,ROWS($B$5:L26))), "")</f>
        <v/>
      </c>
      <c r="M26" s="44" t="str" cm="1">
        <f t="array" ref="M26">IFERROR(INDEX(Dipendenti!L:L,SMALL(Dipendenti!$Y$2:$Y$550,ROWS($B$5:M26))), "")</f>
        <v/>
      </c>
      <c r="N26" s="44" t="str" cm="1">
        <f t="array" ref="N26">IFERROR(INDEX(Dipendenti!M:M,SMALL(Dipendenti!$Y$2:$Y$550,ROWS($B$5:N26))), "")</f>
        <v/>
      </c>
      <c r="O26" s="44" t="str" cm="1">
        <f t="array" ref="O26">IFERROR(INDEX(Dipendenti!N:N,SMALL(Dipendenti!$Y$2:$Y$550,ROWS($B$5:O26))), "")</f>
        <v/>
      </c>
      <c r="P26" s="49" t="str" cm="1">
        <f t="array" ref="P26">IFERROR(INDEX(Dipendenti!O:O,SMALL(Dipendenti!$Y$2:$Y$550,ROWS($B$5:P26))), "")</f>
        <v/>
      </c>
    </row>
    <row r="27" spans="2:16" x14ac:dyDescent="0.25">
      <c r="B27" s="44" t="str" cm="1">
        <f t="array" ref="B27">IFERROR(INDEX(Dipendenti!A:A,SMALL(Dipendenti!$Y$2:$Y$550,ROWS($B$5:B27))), "")</f>
        <v/>
      </c>
      <c r="C27" s="44" t="str" cm="1">
        <f t="array" ref="C27">IFERROR(INDEX(Dipendenti!B:B,SMALL(Dipendenti!$Y$2:$Y$550,ROWS($B$5:C27))), "")</f>
        <v/>
      </c>
      <c r="D27" s="45" t="str" cm="1">
        <f t="array" ref="D27">IFERROR(INDEX(Dipendenti!C:C,SMALL(Dipendenti!$Y$2:$Y$550,ROWS($B$5:D27))), "")</f>
        <v/>
      </c>
      <c r="E27" s="44" t="str" cm="1">
        <f t="array" ref="E27">IFERROR(INDEX(Dipendenti!D:D,SMALL(Dipendenti!$Y$2:$Y$550,ROWS($B$5:E27))), "")</f>
        <v/>
      </c>
      <c r="F27" s="44" t="str" cm="1">
        <f t="array" ref="F27">IFERROR(INDEX(Dipendenti!E:E,SMALL(Dipendenti!$Y$2:$Y$550,ROWS($B$5:F27))), "")</f>
        <v/>
      </c>
      <c r="G27" s="44" t="str" cm="1">
        <f t="array" ref="G27">IFERROR(INDEX(Dipendenti!F:F,SMALL(Dipendenti!$Y$2:$Y$550,ROWS($B$5:G27))), "")</f>
        <v/>
      </c>
      <c r="H27" s="44" t="str" cm="1">
        <f t="array" ref="H27">IFERROR(INDEX(Dipendenti!G:G,SMALL(Dipendenti!$Y$2:$Y$550,ROWS($B$5:H27))), "")</f>
        <v/>
      </c>
      <c r="I27" s="45" t="str" cm="1">
        <f t="array" ref="I27">IFERROR(IF(INDEX(Dipendenti!H:H,SMALL(Dipendenti!$Y$2:$Y$550,ROWS($B$5:B27)))=0, "",
INDEX(Dipendenti!H:H,SMALL(Dipendenti!$Y$2:$Y$550,ROWS($B$5:B27)))), "")</f>
        <v/>
      </c>
      <c r="J27" s="45" t="str" cm="1">
        <f t="array" ref="J27">IFERROR(IF(INDEX(Dipendenti!I:I,SMALL(Dipendenti!$Y$2:$Y$550,ROWS($B$5:C27)))=0, "",
INDEX(Dipendenti!I:I,SMALL(Dipendenti!$Y$2:$Y$550,ROWS($B$5:C27)))), "")</f>
        <v/>
      </c>
      <c r="K27" s="45" t="str" cm="1">
        <f t="array" ref="K27">IFERROR(IF(INDEX(Dipendenti!J:J,SMALL(Dipendenti!$Y$2:$Y$550,ROWS($B$5:D27)))=0, "",
INDEX(Dipendenti!J:J,SMALL(Dipendenti!$Y$2:$Y$550,ROWS($B$5:D27)))), "")</f>
        <v/>
      </c>
      <c r="L27" s="44" t="str" cm="1">
        <f t="array" ref="L27">IFERROR(INDEX(Dipendenti!K:K,SMALL(Dipendenti!$Y$2:$Y$550,ROWS($B$5:L27))), "")</f>
        <v/>
      </c>
      <c r="M27" s="44" t="str" cm="1">
        <f t="array" ref="M27">IFERROR(INDEX(Dipendenti!L:L,SMALL(Dipendenti!$Y$2:$Y$550,ROWS($B$5:M27))), "")</f>
        <v/>
      </c>
      <c r="N27" s="44" t="str" cm="1">
        <f t="array" ref="N27">IFERROR(INDEX(Dipendenti!M:M,SMALL(Dipendenti!$Y$2:$Y$550,ROWS($B$5:N27))), "")</f>
        <v/>
      </c>
      <c r="O27" s="44" t="str" cm="1">
        <f t="array" ref="O27">IFERROR(INDEX(Dipendenti!N:N,SMALL(Dipendenti!$Y$2:$Y$550,ROWS($B$5:O27))), "")</f>
        <v/>
      </c>
      <c r="P27" s="49" t="str" cm="1">
        <f t="array" ref="P27">IFERROR(INDEX(Dipendenti!O:O,SMALL(Dipendenti!$Y$2:$Y$550,ROWS($B$5:P27))), "")</f>
        <v/>
      </c>
    </row>
    <row r="28" spans="2:16" x14ac:dyDescent="0.25">
      <c r="B28" s="44" t="str" cm="1">
        <f t="array" ref="B28">IFERROR(INDEX(Dipendenti!A:A,SMALL(Dipendenti!$Y$2:$Y$550,ROWS($B$5:B28))), "")</f>
        <v/>
      </c>
      <c r="C28" s="44" t="str" cm="1">
        <f t="array" ref="C28">IFERROR(INDEX(Dipendenti!B:B,SMALL(Dipendenti!$Y$2:$Y$550,ROWS($B$5:C28))), "")</f>
        <v/>
      </c>
      <c r="D28" s="45" t="str" cm="1">
        <f t="array" ref="D28">IFERROR(INDEX(Dipendenti!C:C,SMALL(Dipendenti!$Y$2:$Y$550,ROWS($B$5:D28))), "")</f>
        <v/>
      </c>
      <c r="E28" s="44" t="str" cm="1">
        <f t="array" ref="E28">IFERROR(INDEX(Dipendenti!D:D,SMALL(Dipendenti!$Y$2:$Y$550,ROWS($B$5:E28))), "")</f>
        <v/>
      </c>
      <c r="F28" s="44" t="str" cm="1">
        <f t="array" ref="F28">IFERROR(INDEX(Dipendenti!E:E,SMALL(Dipendenti!$Y$2:$Y$550,ROWS($B$5:F28))), "")</f>
        <v/>
      </c>
      <c r="G28" s="44" t="str" cm="1">
        <f t="array" ref="G28">IFERROR(INDEX(Dipendenti!F:F,SMALL(Dipendenti!$Y$2:$Y$550,ROWS($B$5:G28))), "")</f>
        <v/>
      </c>
      <c r="H28" s="44" t="str" cm="1">
        <f t="array" ref="H28">IFERROR(INDEX(Dipendenti!G:G,SMALL(Dipendenti!$Y$2:$Y$550,ROWS($B$5:H28))), "")</f>
        <v/>
      </c>
      <c r="I28" s="45" t="str" cm="1">
        <f t="array" ref="I28">IFERROR(IF(INDEX(Dipendenti!H:H,SMALL(Dipendenti!$Y$2:$Y$550,ROWS($B$5:B28)))=0, "",
INDEX(Dipendenti!H:H,SMALL(Dipendenti!$Y$2:$Y$550,ROWS($B$5:B28)))), "")</f>
        <v/>
      </c>
      <c r="J28" s="45" t="str" cm="1">
        <f t="array" ref="J28">IFERROR(IF(INDEX(Dipendenti!I:I,SMALL(Dipendenti!$Y$2:$Y$550,ROWS($B$5:C28)))=0, "",
INDEX(Dipendenti!I:I,SMALL(Dipendenti!$Y$2:$Y$550,ROWS($B$5:C28)))), "")</f>
        <v/>
      </c>
      <c r="K28" s="45" t="str" cm="1">
        <f t="array" ref="K28">IFERROR(IF(INDEX(Dipendenti!J:J,SMALL(Dipendenti!$Y$2:$Y$550,ROWS($B$5:D28)))=0, "",
INDEX(Dipendenti!J:J,SMALL(Dipendenti!$Y$2:$Y$550,ROWS($B$5:D28)))), "")</f>
        <v/>
      </c>
      <c r="L28" s="44" t="str" cm="1">
        <f t="array" ref="L28">IFERROR(INDEX(Dipendenti!K:K,SMALL(Dipendenti!$Y$2:$Y$550,ROWS($B$5:L28))), "")</f>
        <v/>
      </c>
      <c r="M28" s="44" t="str" cm="1">
        <f t="array" ref="M28">IFERROR(INDEX(Dipendenti!L:L,SMALL(Dipendenti!$Y$2:$Y$550,ROWS($B$5:M28))), "")</f>
        <v/>
      </c>
      <c r="N28" s="44" t="str" cm="1">
        <f t="array" ref="N28">IFERROR(INDEX(Dipendenti!M:M,SMALL(Dipendenti!$Y$2:$Y$550,ROWS($B$5:N28))), "")</f>
        <v/>
      </c>
      <c r="O28" s="44" t="str" cm="1">
        <f t="array" ref="O28">IFERROR(INDEX(Dipendenti!N:N,SMALL(Dipendenti!$Y$2:$Y$550,ROWS($B$5:O28))), "")</f>
        <v/>
      </c>
      <c r="P28" s="49" t="str" cm="1">
        <f t="array" ref="P28">IFERROR(INDEX(Dipendenti!O:O,SMALL(Dipendenti!$Y$2:$Y$550,ROWS($B$5:P28))), "")</f>
        <v/>
      </c>
    </row>
    <row r="29" spans="2:16" x14ac:dyDescent="0.25">
      <c r="B29" s="44" t="str" cm="1">
        <f t="array" ref="B29">IFERROR(INDEX(Dipendenti!A:A,SMALL(Dipendenti!$Y$2:$Y$550,ROWS($B$5:B29))), "")</f>
        <v/>
      </c>
      <c r="C29" s="44" t="str" cm="1">
        <f t="array" ref="C29">IFERROR(INDEX(Dipendenti!B:B,SMALL(Dipendenti!$Y$2:$Y$550,ROWS($B$5:C29))), "")</f>
        <v/>
      </c>
      <c r="D29" s="45" t="str" cm="1">
        <f t="array" ref="D29">IFERROR(INDEX(Dipendenti!C:C,SMALL(Dipendenti!$Y$2:$Y$550,ROWS($B$5:D29))), "")</f>
        <v/>
      </c>
      <c r="E29" s="44" t="str" cm="1">
        <f t="array" ref="E29">IFERROR(INDEX(Dipendenti!D:D,SMALL(Dipendenti!$Y$2:$Y$550,ROWS($B$5:E29))), "")</f>
        <v/>
      </c>
      <c r="F29" s="44" t="str" cm="1">
        <f t="array" ref="F29">IFERROR(INDEX(Dipendenti!E:E,SMALL(Dipendenti!$Y$2:$Y$550,ROWS($B$5:F29))), "")</f>
        <v/>
      </c>
      <c r="G29" s="44" t="str" cm="1">
        <f t="array" ref="G29">IFERROR(INDEX(Dipendenti!F:F,SMALL(Dipendenti!$Y$2:$Y$550,ROWS($B$5:G29))), "")</f>
        <v/>
      </c>
      <c r="H29" s="44" t="str" cm="1">
        <f t="array" ref="H29">IFERROR(INDEX(Dipendenti!G:G,SMALL(Dipendenti!$Y$2:$Y$550,ROWS($B$5:H29))), "")</f>
        <v/>
      </c>
      <c r="I29" s="45" t="str" cm="1">
        <f t="array" ref="I29">IFERROR(IF(INDEX(Dipendenti!H:H,SMALL(Dipendenti!$Y$2:$Y$550,ROWS($B$5:B29)))=0, "",
INDEX(Dipendenti!H:H,SMALL(Dipendenti!$Y$2:$Y$550,ROWS($B$5:B29)))), "")</f>
        <v/>
      </c>
      <c r="J29" s="45" t="str" cm="1">
        <f t="array" ref="J29">IFERROR(IF(INDEX(Dipendenti!I:I,SMALL(Dipendenti!$Y$2:$Y$550,ROWS($B$5:C29)))=0, "",
INDEX(Dipendenti!I:I,SMALL(Dipendenti!$Y$2:$Y$550,ROWS($B$5:C29)))), "")</f>
        <v/>
      </c>
      <c r="K29" s="45" t="str" cm="1">
        <f t="array" ref="K29">IFERROR(IF(INDEX(Dipendenti!J:J,SMALL(Dipendenti!$Y$2:$Y$550,ROWS($B$5:D29)))=0, "",
INDEX(Dipendenti!J:J,SMALL(Dipendenti!$Y$2:$Y$550,ROWS($B$5:D29)))), "")</f>
        <v/>
      </c>
      <c r="L29" s="44" t="str" cm="1">
        <f t="array" ref="L29">IFERROR(INDEX(Dipendenti!K:K,SMALL(Dipendenti!$Y$2:$Y$550,ROWS($B$5:L29))), "")</f>
        <v/>
      </c>
      <c r="M29" s="44" t="str" cm="1">
        <f t="array" ref="M29">IFERROR(INDEX(Dipendenti!L:L,SMALL(Dipendenti!$Y$2:$Y$550,ROWS($B$5:M29))), "")</f>
        <v/>
      </c>
      <c r="N29" s="44" t="str" cm="1">
        <f t="array" ref="N29">IFERROR(INDEX(Dipendenti!M:M,SMALL(Dipendenti!$Y$2:$Y$550,ROWS($B$5:N29))), "")</f>
        <v/>
      </c>
      <c r="O29" s="44" t="str" cm="1">
        <f t="array" ref="O29">IFERROR(INDEX(Dipendenti!N:N,SMALL(Dipendenti!$Y$2:$Y$550,ROWS($B$5:O29))), "")</f>
        <v/>
      </c>
      <c r="P29" s="49" t="str" cm="1">
        <f t="array" ref="P29">IFERROR(INDEX(Dipendenti!O:O,SMALL(Dipendenti!$Y$2:$Y$550,ROWS($B$5:P29))), "")</f>
        <v/>
      </c>
    </row>
    <row r="30" spans="2:16" x14ac:dyDescent="0.25">
      <c r="B30" s="44" t="str" cm="1">
        <f t="array" ref="B30">IFERROR(INDEX(Dipendenti!A:A,SMALL(Dipendenti!$Y$2:$Y$550,ROWS($B$5:B30))), "")</f>
        <v/>
      </c>
      <c r="C30" s="44" t="str" cm="1">
        <f t="array" ref="C30">IFERROR(INDEX(Dipendenti!B:B,SMALL(Dipendenti!$Y$2:$Y$550,ROWS($B$5:C30))), "")</f>
        <v/>
      </c>
      <c r="D30" s="45" t="str" cm="1">
        <f t="array" ref="D30">IFERROR(INDEX(Dipendenti!C:C,SMALL(Dipendenti!$Y$2:$Y$550,ROWS($B$5:D30))), "")</f>
        <v/>
      </c>
      <c r="E30" s="44" t="str" cm="1">
        <f t="array" ref="E30">IFERROR(INDEX(Dipendenti!D:D,SMALL(Dipendenti!$Y$2:$Y$550,ROWS($B$5:E30))), "")</f>
        <v/>
      </c>
      <c r="F30" s="44" t="str" cm="1">
        <f t="array" ref="F30">IFERROR(INDEX(Dipendenti!E:E,SMALL(Dipendenti!$Y$2:$Y$550,ROWS($B$5:F30))), "")</f>
        <v/>
      </c>
      <c r="G30" s="44" t="str" cm="1">
        <f t="array" ref="G30">IFERROR(INDEX(Dipendenti!F:F,SMALL(Dipendenti!$Y$2:$Y$550,ROWS($B$5:G30))), "")</f>
        <v/>
      </c>
      <c r="H30" s="44" t="str" cm="1">
        <f t="array" ref="H30">IFERROR(INDEX(Dipendenti!G:G,SMALL(Dipendenti!$Y$2:$Y$550,ROWS($B$5:H30))), "")</f>
        <v/>
      </c>
      <c r="I30" s="45" t="str" cm="1">
        <f t="array" ref="I30">IFERROR(IF(INDEX(Dipendenti!H:H,SMALL(Dipendenti!$Y$2:$Y$550,ROWS($B$5:B30)))=0, "",
INDEX(Dipendenti!H:H,SMALL(Dipendenti!$Y$2:$Y$550,ROWS($B$5:B30)))), "")</f>
        <v/>
      </c>
      <c r="J30" s="45" t="str" cm="1">
        <f t="array" ref="J30">IFERROR(IF(INDEX(Dipendenti!I:I,SMALL(Dipendenti!$Y$2:$Y$550,ROWS($B$5:C30)))=0, "",
INDEX(Dipendenti!I:I,SMALL(Dipendenti!$Y$2:$Y$550,ROWS($B$5:C30)))), "")</f>
        <v/>
      </c>
      <c r="K30" s="45" t="str" cm="1">
        <f t="array" ref="K30">IFERROR(IF(INDEX(Dipendenti!J:J,SMALL(Dipendenti!$Y$2:$Y$550,ROWS($B$5:D30)))=0, "",
INDEX(Dipendenti!J:J,SMALL(Dipendenti!$Y$2:$Y$550,ROWS($B$5:D30)))), "")</f>
        <v/>
      </c>
      <c r="L30" s="44" t="str" cm="1">
        <f t="array" ref="L30">IFERROR(INDEX(Dipendenti!K:K,SMALL(Dipendenti!$Y$2:$Y$550,ROWS($B$5:L30))), "")</f>
        <v/>
      </c>
      <c r="M30" s="44" t="str" cm="1">
        <f t="array" ref="M30">IFERROR(INDEX(Dipendenti!L:L,SMALL(Dipendenti!$Y$2:$Y$550,ROWS($B$5:M30))), "")</f>
        <v/>
      </c>
      <c r="N30" s="44" t="str" cm="1">
        <f t="array" ref="N30">IFERROR(INDEX(Dipendenti!M:M,SMALL(Dipendenti!$Y$2:$Y$550,ROWS($B$5:N30))), "")</f>
        <v/>
      </c>
      <c r="O30" s="44" t="str" cm="1">
        <f t="array" ref="O30">IFERROR(INDEX(Dipendenti!N:N,SMALL(Dipendenti!$Y$2:$Y$550,ROWS($B$5:O30))), "")</f>
        <v/>
      </c>
      <c r="P30" s="49" t="str" cm="1">
        <f t="array" ref="P30">IFERROR(INDEX(Dipendenti!O:O,SMALL(Dipendenti!$Y$2:$Y$550,ROWS($B$5:P30))), "")</f>
        <v/>
      </c>
    </row>
    <row r="31" spans="2:16" x14ac:dyDescent="0.25">
      <c r="B31" s="44" t="str" cm="1">
        <f t="array" ref="B31">IFERROR(INDEX(Dipendenti!A:A,SMALL(Dipendenti!$Y$2:$Y$550,ROWS($B$5:B31))), "")</f>
        <v/>
      </c>
      <c r="C31" s="44" t="str" cm="1">
        <f t="array" ref="C31">IFERROR(INDEX(Dipendenti!B:B,SMALL(Dipendenti!$Y$2:$Y$550,ROWS($B$5:C31))), "")</f>
        <v/>
      </c>
      <c r="D31" s="45" t="str" cm="1">
        <f t="array" ref="D31">IFERROR(INDEX(Dipendenti!C:C,SMALL(Dipendenti!$Y$2:$Y$550,ROWS($B$5:D31))), "")</f>
        <v/>
      </c>
      <c r="E31" s="44" t="str" cm="1">
        <f t="array" ref="E31">IFERROR(INDEX(Dipendenti!D:D,SMALL(Dipendenti!$Y$2:$Y$550,ROWS($B$5:E31))), "")</f>
        <v/>
      </c>
      <c r="F31" s="44" t="str" cm="1">
        <f t="array" ref="F31">IFERROR(INDEX(Dipendenti!E:E,SMALL(Dipendenti!$Y$2:$Y$550,ROWS($B$5:F31))), "")</f>
        <v/>
      </c>
      <c r="G31" s="44" t="str" cm="1">
        <f t="array" ref="G31">IFERROR(INDEX(Dipendenti!F:F,SMALL(Dipendenti!$Y$2:$Y$550,ROWS($B$5:G31))), "")</f>
        <v/>
      </c>
      <c r="H31" s="44" t="str" cm="1">
        <f t="array" ref="H31">IFERROR(INDEX(Dipendenti!G:G,SMALL(Dipendenti!$Y$2:$Y$550,ROWS($B$5:H31))), "")</f>
        <v/>
      </c>
      <c r="I31" s="45" t="str" cm="1">
        <f t="array" ref="I31">IFERROR(IF(INDEX(Dipendenti!H:H,SMALL(Dipendenti!$Y$2:$Y$550,ROWS($B$5:B31)))=0, "",
INDEX(Dipendenti!H:H,SMALL(Dipendenti!$Y$2:$Y$550,ROWS($B$5:B31)))), "")</f>
        <v/>
      </c>
      <c r="J31" s="45" t="str" cm="1">
        <f t="array" ref="J31">IFERROR(IF(INDEX(Dipendenti!I:I,SMALL(Dipendenti!$Y$2:$Y$550,ROWS($B$5:C31)))=0, "",
INDEX(Dipendenti!I:I,SMALL(Dipendenti!$Y$2:$Y$550,ROWS($B$5:C31)))), "")</f>
        <v/>
      </c>
      <c r="K31" s="45" t="str" cm="1">
        <f t="array" ref="K31">IFERROR(IF(INDEX(Dipendenti!J:J,SMALL(Dipendenti!$Y$2:$Y$550,ROWS($B$5:D31)))=0, "",
INDEX(Dipendenti!J:J,SMALL(Dipendenti!$Y$2:$Y$550,ROWS($B$5:D31)))), "")</f>
        <v/>
      </c>
      <c r="L31" s="44" t="str" cm="1">
        <f t="array" ref="L31">IFERROR(INDEX(Dipendenti!K:K,SMALL(Dipendenti!$Y$2:$Y$550,ROWS($B$5:L31))), "")</f>
        <v/>
      </c>
      <c r="M31" s="44" t="str" cm="1">
        <f t="array" ref="M31">IFERROR(INDEX(Dipendenti!L:L,SMALL(Dipendenti!$Y$2:$Y$550,ROWS($B$5:M31))), "")</f>
        <v/>
      </c>
      <c r="N31" s="44" t="str" cm="1">
        <f t="array" ref="N31">IFERROR(INDEX(Dipendenti!M:M,SMALL(Dipendenti!$Y$2:$Y$550,ROWS($B$5:N31))), "")</f>
        <v/>
      </c>
      <c r="O31" s="44" t="str" cm="1">
        <f t="array" ref="O31">IFERROR(INDEX(Dipendenti!N:N,SMALL(Dipendenti!$Y$2:$Y$550,ROWS($B$5:O31))), "")</f>
        <v/>
      </c>
      <c r="P31" s="49" t="str" cm="1">
        <f t="array" ref="P31">IFERROR(INDEX(Dipendenti!O:O,SMALL(Dipendenti!$Y$2:$Y$550,ROWS($B$5:P31))), "")</f>
        <v/>
      </c>
    </row>
    <row r="32" spans="2:16" x14ac:dyDescent="0.25">
      <c r="B32" s="44" t="str" cm="1">
        <f t="array" ref="B32">IFERROR(INDEX(Dipendenti!A:A,SMALL(Dipendenti!$Y$2:$Y$550,ROWS($B$5:B32))), "")</f>
        <v/>
      </c>
      <c r="C32" s="44" t="str" cm="1">
        <f t="array" ref="C32">IFERROR(INDEX(Dipendenti!B:B,SMALL(Dipendenti!$Y$2:$Y$550,ROWS($B$5:C32))), "")</f>
        <v/>
      </c>
      <c r="D32" s="45" t="str" cm="1">
        <f t="array" ref="D32">IFERROR(INDEX(Dipendenti!C:C,SMALL(Dipendenti!$Y$2:$Y$550,ROWS($B$5:D32))), "")</f>
        <v/>
      </c>
      <c r="E32" s="44" t="str" cm="1">
        <f t="array" ref="E32">IFERROR(INDEX(Dipendenti!D:D,SMALL(Dipendenti!$Y$2:$Y$550,ROWS($B$5:E32))), "")</f>
        <v/>
      </c>
      <c r="F32" s="44" t="str" cm="1">
        <f t="array" ref="F32">IFERROR(INDEX(Dipendenti!E:E,SMALL(Dipendenti!$Y$2:$Y$550,ROWS($B$5:F32))), "")</f>
        <v/>
      </c>
      <c r="G32" s="44" t="str" cm="1">
        <f t="array" ref="G32">IFERROR(INDEX(Dipendenti!F:F,SMALL(Dipendenti!$Y$2:$Y$550,ROWS($B$5:G32))), "")</f>
        <v/>
      </c>
      <c r="H32" s="44" t="str" cm="1">
        <f t="array" ref="H32">IFERROR(INDEX(Dipendenti!G:G,SMALL(Dipendenti!$Y$2:$Y$550,ROWS($B$5:H32))), "")</f>
        <v/>
      </c>
      <c r="I32" s="45" t="str" cm="1">
        <f t="array" ref="I32">IFERROR(IF(INDEX(Dipendenti!H:H,SMALL(Dipendenti!$Y$2:$Y$550,ROWS($B$5:B32)))=0, "",
INDEX(Dipendenti!H:H,SMALL(Dipendenti!$Y$2:$Y$550,ROWS($B$5:B32)))), "")</f>
        <v/>
      </c>
      <c r="J32" s="45" t="str" cm="1">
        <f t="array" ref="J32">IFERROR(IF(INDEX(Dipendenti!I:I,SMALL(Dipendenti!$Y$2:$Y$550,ROWS($B$5:C32)))=0, "",
INDEX(Dipendenti!I:I,SMALL(Dipendenti!$Y$2:$Y$550,ROWS($B$5:C32)))), "")</f>
        <v/>
      </c>
      <c r="K32" s="45" t="str" cm="1">
        <f t="array" ref="K32">IFERROR(IF(INDEX(Dipendenti!J:J,SMALL(Dipendenti!$Y$2:$Y$550,ROWS($B$5:D32)))=0, "",
INDEX(Dipendenti!J:J,SMALL(Dipendenti!$Y$2:$Y$550,ROWS($B$5:D32)))), "")</f>
        <v/>
      </c>
      <c r="L32" s="44" t="str" cm="1">
        <f t="array" ref="L32">IFERROR(INDEX(Dipendenti!K:K,SMALL(Dipendenti!$Y$2:$Y$550,ROWS($B$5:L32))), "")</f>
        <v/>
      </c>
      <c r="M32" s="44" t="str" cm="1">
        <f t="array" ref="M32">IFERROR(INDEX(Dipendenti!L:L,SMALL(Dipendenti!$Y$2:$Y$550,ROWS($B$5:M32))), "")</f>
        <v/>
      </c>
      <c r="N32" s="44" t="str" cm="1">
        <f t="array" ref="N32">IFERROR(INDEX(Dipendenti!M:M,SMALL(Dipendenti!$Y$2:$Y$550,ROWS($B$5:N32))), "")</f>
        <v/>
      </c>
      <c r="O32" s="44" t="str" cm="1">
        <f t="array" ref="O32">IFERROR(INDEX(Dipendenti!N:N,SMALL(Dipendenti!$Y$2:$Y$550,ROWS($B$5:O32))), "")</f>
        <v/>
      </c>
      <c r="P32" s="49" t="str" cm="1">
        <f t="array" ref="P32">IFERROR(INDEX(Dipendenti!O:O,SMALL(Dipendenti!$Y$2:$Y$550,ROWS($B$5:P32))), "")</f>
        <v/>
      </c>
    </row>
    <row r="33" spans="2:16" x14ac:dyDescent="0.25">
      <c r="B33" s="44" t="str" cm="1">
        <f t="array" ref="B33">IFERROR(INDEX(Dipendenti!A:A,SMALL(Dipendenti!$Y$2:$Y$550,ROWS($B$5:B33))), "")</f>
        <v/>
      </c>
      <c r="C33" s="44" t="str" cm="1">
        <f t="array" ref="C33">IFERROR(INDEX(Dipendenti!B:B,SMALL(Dipendenti!$Y$2:$Y$550,ROWS($B$5:C33))), "")</f>
        <v/>
      </c>
      <c r="D33" s="45" t="str" cm="1">
        <f t="array" ref="D33">IFERROR(INDEX(Dipendenti!C:C,SMALL(Dipendenti!$Y$2:$Y$550,ROWS($B$5:D33))), "")</f>
        <v/>
      </c>
      <c r="E33" s="44" t="str" cm="1">
        <f t="array" ref="E33">IFERROR(INDEX(Dipendenti!D:D,SMALL(Dipendenti!$Y$2:$Y$550,ROWS($B$5:E33))), "")</f>
        <v/>
      </c>
      <c r="F33" s="44" t="str" cm="1">
        <f t="array" ref="F33">IFERROR(INDEX(Dipendenti!E:E,SMALL(Dipendenti!$Y$2:$Y$550,ROWS($B$5:F33))), "")</f>
        <v/>
      </c>
      <c r="G33" s="44" t="str" cm="1">
        <f t="array" ref="G33">IFERROR(INDEX(Dipendenti!F:F,SMALL(Dipendenti!$Y$2:$Y$550,ROWS($B$5:G33))), "")</f>
        <v/>
      </c>
      <c r="H33" s="44" t="str" cm="1">
        <f t="array" ref="H33">IFERROR(INDEX(Dipendenti!G:G,SMALL(Dipendenti!$Y$2:$Y$550,ROWS($B$5:H33))), "")</f>
        <v/>
      </c>
      <c r="I33" s="45" t="str" cm="1">
        <f t="array" ref="I33">IFERROR(IF(INDEX(Dipendenti!H:H,SMALL(Dipendenti!$Y$2:$Y$550,ROWS($B$5:B33)))=0, "",
INDEX(Dipendenti!H:H,SMALL(Dipendenti!$Y$2:$Y$550,ROWS($B$5:B33)))), "")</f>
        <v/>
      </c>
      <c r="J33" s="45" t="str" cm="1">
        <f t="array" ref="J33">IFERROR(IF(INDEX(Dipendenti!I:I,SMALL(Dipendenti!$Y$2:$Y$550,ROWS($B$5:C33)))=0, "",
INDEX(Dipendenti!I:I,SMALL(Dipendenti!$Y$2:$Y$550,ROWS($B$5:C33)))), "")</f>
        <v/>
      </c>
      <c r="K33" s="45" t="str" cm="1">
        <f t="array" ref="K33">IFERROR(IF(INDEX(Dipendenti!J:J,SMALL(Dipendenti!$Y$2:$Y$550,ROWS($B$5:D33)))=0, "",
INDEX(Dipendenti!J:J,SMALL(Dipendenti!$Y$2:$Y$550,ROWS($B$5:D33)))), "")</f>
        <v/>
      </c>
      <c r="L33" s="44" t="str" cm="1">
        <f t="array" ref="L33">IFERROR(INDEX(Dipendenti!K:K,SMALL(Dipendenti!$Y$2:$Y$550,ROWS($B$5:L33))), "")</f>
        <v/>
      </c>
      <c r="M33" s="44" t="str" cm="1">
        <f t="array" ref="M33">IFERROR(INDEX(Dipendenti!L:L,SMALL(Dipendenti!$Y$2:$Y$550,ROWS($B$5:M33))), "")</f>
        <v/>
      </c>
      <c r="N33" s="44" t="str" cm="1">
        <f t="array" ref="N33">IFERROR(INDEX(Dipendenti!M:M,SMALL(Dipendenti!$Y$2:$Y$550,ROWS($B$5:N33))), "")</f>
        <v/>
      </c>
      <c r="O33" s="44" t="str" cm="1">
        <f t="array" ref="O33">IFERROR(INDEX(Dipendenti!N:N,SMALL(Dipendenti!$Y$2:$Y$550,ROWS($B$5:O33))), "")</f>
        <v/>
      </c>
      <c r="P33" s="49" t="str" cm="1">
        <f t="array" ref="P33">IFERROR(INDEX(Dipendenti!O:O,SMALL(Dipendenti!$Y$2:$Y$550,ROWS($B$5:P33))), "")</f>
        <v/>
      </c>
    </row>
    <row r="34" spans="2:16" x14ac:dyDescent="0.25">
      <c r="B34" s="44" t="str" cm="1">
        <f t="array" ref="B34">IFERROR(INDEX(Dipendenti!A:A,SMALL(Dipendenti!$Y$2:$Y$550,ROWS($B$5:B34))), "")</f>
        <v/>
      </c>
      <c r="C34" s="44" t="str" cm="1">
        <f t="array" ref="C34">IFERROR(INDEX(Dipendenti!B:B,SMALL(Dipendenti!$Y$2:$Y$550,ROWS($B$5:C34))), "")</f>
        <v/>
      </c>
      <c r="D34" s="45" t="str" cm="1">
        <f t="array" ref="D34">IFERROR(INDEX(Dipendenti!C:C,SMALL(Dipendenti!$Y$2:$Y$550,ROWS($B$5:D34))), "")</f>
        <v/>
      </c>
      <c r="E34" s="44" t="str" cm="1">
        <f t="array" ref="E34">IFERROR(INDEX(Dipendenti!D:D,SMALL(Dipendenti!$Y$2:$Y$550,ROWS($B$5:E34))), "")</f>
        <v/>
      </c>
      <c r="F34" s="44" t="str" cm="1">
        <f t="array" ref="F34">IFERROR(INDEX(Dipendenti!E:E,SMALL(Dipendenti!$Y$2:$Y$550,ROWS($B$5:F34))), "")</f>
        <v/>
      </c>
      <c r="G34" s="44" t="str" cm="1">
        <f t="array" ref="G34">IFERROR(INDEX(Dipendenti!F:F,SMALL(Dipendenti!$Y$2:$Y$550,ROWS($B$5:G34))), "")</f>
        <v/>
      </c>
      <c r="H34" s="44" t="str" cm="1">
        <f t="array" ref="H34">IFERROR(INDEX(Dipendenti!G:G,SMALL(Dipendenti!$Y$2:$Y$550,ROWS($B$5:H34))), "")</f>
        <v/>
      </c>
      <c r="I34" s="45" t="str" cm="1">
        <f t="array" ref="I34">IFERROR(IF(INDEX(Dipendenti!H:H,SMALL(Dipendenti!$Y$2:$Y$550,ROWS($B$5:B34)))=0, "",
INDEX(Dipendenti!H:H,SMALL(Dipendenti!$Y$2:$Y$550,ROWS($B$5:B34)))), "")</f>
        <v/>
      </c>
      <c r="J34" s="45" t="str" cm="1">
        <f t="array" ref="J34">IFERROR(IF(INDEX(Dipendenti!I:I,SMALL(Dipendenti!$Y$2:$Y$550,ROWS($B$5:C34)))=0, "",
INDEX(Dipendenti!I:I,SMALL(Dipendenti!$Y$2:$Y$550,ROWS($B$5:C34)))), "")</f>
        <v/>
      </c>
      <c r="K34" s="45" t="str" cm="1">
        <f t="array" ref="K34">IFERROR(IF(INDEX(Dipendenti!J:J,SMALL(Dipendenti!$Y$2:$Y$550,ROWS($B$5:D34)))=0, "",
INDEX(Dipendenti!J:J,SMALL(Dipendenti!$Y$2:$Y$550,ROWS($B$5:D34)))), "")</f>
        <v/>
      </c>
      <c r="L34" s="44" t="str" cm="1">
        <f t="array" ref="L34">IFERROR(INDEX(Dipendenti!K:K,SMALL(Dipendenti!$Y$2:$Y$550,ROWS($B$5:L34))), "")</f>
        <v/>
      </c>
      <c r="M34" s="44" t="str" cm="1">
        <f t="array" ref="M34">IFERROR(INDEX(Dipendenti!L:L,SMALL(Dipendenti!$Y$2:$Y$550,ROWS($B$5:M34))), "")</f>
        <v/>
      </c>
      <c r="N34" s="44" t="str" cm="1">
        <f t="array" ref="N34">IFERROR(INDEX(Dipendenti!M:M,SMALL(Dipendenti!$Y$2:$Y$550,ROWS($B$5:N34))), "")</f>
        <v/>
      </c>
      <c r="O34" s="44" t="str" cm="1">
        <f t="array" ref="O34">IFERROR(INDEX(Dipendenti!N:N,SMALL(Dipendenti!$Y$2:$Y$550,ROWS($B$5:O34))), "")</f>
        <v/>
      </c>
      <c r="P34" s="49" t="str" cm="1">
        <f t="array" ref="P34">IFERROR(INDEX(Dipendenti!O:O,SMALL(Dipendenti!$Y$2:$Y$550,ROWS($B$5:P34))), "")</f>
        <v/>
      </c>
    </row>
    <row r="35" spans="2:16" x14ac:dyDescent="0.25">
      <c r="B35" s="44" t="str" cm="1">
        <f t="array" ref="B35">IFERROR(INDEX(Dipendenti!A:A,SMALL(Dipendenti!$Y$2:$Y$550,ROWS($B$5:B35))), "")</f>
        <v/>
      </c>
      <c r="C35" s="44" t="str" cm="1">
        <f t="array" ref="C35">IFERROR(INDEX(Dipendenti!B:B,SMALL(Dipendenti!$Y$2:$Y$550,ROWS($B$5:C35))), "")</f>
        <v/>
      </c>
      <c r="D35" s="45" t="str" cm="1">
        <f t="array" ref="D35">IFERROR(INDEX(Dipendenti!C:C,SMALL(Dipendenti!$Y$2:$Y$550,ROWS($B$5:D35))), "")</f>
        <v/>
      </c>
      <c r="E35" s="44" t="str" cm="1">
        <f t="array" ref="E35">IFERROR(INDEX(Dipendenti!D:D,SMALL(Dipendenti!$Y$2:$Y$550,ROWS($B$5:E35))), "")</f>
        <v/>
      </c>
      <c r="F35" s="44" t="str" cm="1">
        <f t="array" ref="F35">IFERROR(INDEX(Dipendenti!E:E,SMALL(Dipendenti!$Y$2:$Y$550,ROWS($B$5:F35))), "")</f>
        <v/>
      </c>
      <c r="G35" s="44" t="str" cm="1">
        <f t="array" ref="G35">IFERROR(INDEX(Dipendenti!F:F,SMALL(Dipendenti!$Y$2:$Y$550,ROWS($B$5:G35))), "")</f>
        <v/>
      </c>
      <c r="H35" s="44" t="str" cm="1">
        <f t="array" ref="H35">IFERROR(INDEX(Dipendenti!G:G,SMALL(Dipendenti!$Y$2:$Y$550,ROWS($B$5:H35))), "")</f>
        <v/>
      </c>
      <c r="I35" s="45" t="str" cm="1">
        <f t="array" ref="I35">IFERROR(IF(INDEX(Dipendenti!H:H,SMALL(Dipendenti!$Y$2:$Y$550,ROWS($B$5:B35)))=0, "",
INDEX(Dipendenti!H:H,SMALL(Dipendenti!$Y$2:$Y$550,ROWS($B$5:B35)))), "")</f>
        <v/>
      </c>
      <c r="J35" s="45" t="str" cm="1">
        <f t="array" ref="J35">IFERROR(IF(INDEX(Dipendenti!I:I,SMALL(Dipendenti!$Y$2:$Y$550,ROWS($B$5:C35)))=0, "",
INDEX(Dipendenti!I:I,SMALL(Dipendenti!$Y$2:$Y$550,ROWS($B$5:C35)))), "")</f>
        <v/>
      </c>
      <c r="K35" s="45" t="str" cm="1">
        <f t="array" ref="K35">IFERROR(IF(INDEX(Dipendenti!J:J,SMALL(Dipendenti!$Y$2:$Y$550,ROWS($B$5:D35)))=0, "",
INDEX(Dipendenti!J:J,SMALL(Dipendenti!$Y$2:$Y$550,ROWS($B$5:D35)))), "")</f>
        <v/>
      </c>
      <c r="L35" s="44" t="str" cm="1">
        <f t="array" ref="L35">IFERROR(INDEX(Dipendenti!K:K,SMALL(Dipendenti!$Y$2:$Y$550,ROWS($B$5:L35))), "")</f>
        <v/>
      </c>
      <c r="M35" s="44" t="str" cm="1">
        <f t="array" ref="M35">IFERROR(INDEX(Dipendenti!L:L,SMALL(Dipendenti!$Y$2:$Y$550,ROWS($B$5:M35))), "")</f>
        <v/>
      </c>
      <c r="N35" s="44" t="str" cm="1">
        <f t="array" ref="N35">IFERROR(INDEX(Dipendenti!M:M,SMALL(Dipendenti!$Y$2:$Y$550,ROWS($B$5:N35))), "")</f>
        <v/>
      </c>
      <c r="O35" s="44" t="str" cm="1">
        <f t="array" ref="O35">IFERROR(INDEX(Dipendenti!N:N,SMALL(Dipendenti!$Y$2:$Y$550,ROWS($B$5:O35))), "")</f>
        <v/>
      </c>
      <c r="P35" s="49" t="str" cm="1">
        <f t="array" ref="P35">IFERROR(INDEX(Dipendenti!O:O,SMALL(Dipendenti!$Y$2:$Y$550,ROWS($B$5:P35))), "")</f>
        <v/>
      </c>
    </row>
    <row r="36" spans="2:16" x14ac:dyDescent="0.25">
      <c r="B36" s="44" t="str" cm="1">
        <f t="array" ref="B36">IFERROR(INDEX(Dipendenti!A:A,SMALL(Dipendenti!$Y$2:$Y$550,ROWS($B$5:B36))), "")</f>
        <v/>
      </c>
      <c r="C36" s="44" t="str" cm="1">
        <f t="array" ref="C36">IFERROR(INDEX(Dipendenti!B:B,SMALL(Dipendenti!$Y$2:$Y$550,ROWS($B$5:C36))), "")</f>
        <v/>
      </c>
      <c r="D36" s="45" t="str" cm="1">
        <f t="array" ref="D36">IFERROR(INDEX(Dipendenti!C:C,SMALL(Dipendenti!$Y$2:$Y$550,ROWS($B$5:D36))), "")</f>
        <v/>
      </c>
      <c r="E36" s="44" t="str" cm="1">
        <f t="array" ref="E36">IFERROR(INDEX(Dipendenti!D:D,SMALL(Dipendenti!$Y$2:$Y$550,ROWS($B$5:E36))), "")</f>
        <v/>
      </c>
      <c r="F36" s="44" t="str" cm="1">
        <f t="array" ref="F36">IFERROR(INDEX(Dipendenti!E:E,SMALL(Dipendenti!$Y$2:$Y$550,ROWS($B$5:F36))), "")</f>
        <v/>
      </c>
      <c r="G36" s="44" t="str" cm="1">
        <f t="array" ref="G36">IFERROR(INDEX(Dipendenti!F:F,SMALL(Dipendenti!$Y$2:$Y$550,ROWS($B$5:G36))), "")</f>
        <v/>
      </c>
      <c r="H36" s="44" t="str" cm="1">
        <f t="array" ref="H36">IFERROR(INDEX(Dipendenti!G:G,SMALL(Dipendenti!$Y$2:$Y$550,ROWS($B$5:H36))), "")</f>
        <v/>
      </c>
      <c r="I36" s="45" t="str" cm="1">
        <f t="array" ref="I36">IFERROR(IF(INDEX(Dipendenti!H:H,SMALL(Dipendenti!$Y$2:$Y$550,ROWS($B$5:B36)))=0, "",
INDEX(Dipendenti!H:H,SMALL(Dipendenti!$Y$2:$Y$550,ROWS($B$5:B36)))), "")</f>
        <v/>
      </c>
      <c r="J36" s="45" t="str" cm="1">
        <f t="array" ref="J36">IFERROR(IF(INDEX(Dipendenti!I:I,SMALL(Dipendenti!$Y$2:$Y$550,ROWS($B$5:C36)))=0, "",
INDEX(Dipendenti!I:I,SMALL(Dipendenti!$Y$2:$Y$550,ROWS($B$5:C36)))), "")</f>
        <v/>
      </c>
      <c r="K36" s="45" t="str" cm="1">
        <f t="array" ref="K36">IFERROR(IF(INDEX(Dipendenti!J:J,SMALL(Dipendenti!$Y$2:$Y$550,ROWS($B$5:D36)))=0, "",
INDEX(Dipendenti!J:J,SMALL(Dipendenti!$Y$2:$Y$550,ROWS($B$5:D36)))), "")</f>
        <v/>
      </c>
      <c r="L36" s="44" t="str" cm="1">
        <f t="array" ref="L36">IFERROR(INDEX(Dipendenti!K:K,SMALL(Dipendenti!$Y$2:$Y$550,ROWS($B$5:L36))), "")</f>
        <v/>
      </c>
      <c r="M36" s="44" t="str" cm="1">
        <f t="array" ref="M36">IFERROR(INDEX(Dipendenti!L:L,SMALL(Dipendenti!$Y$2:$Y$550,ROWS($B$5:M36))), "")</f>
        <v/>
      </c>
      <c r="N36" s="44" t="str" cm="1">
        <f t="array" ref="N36">IFERROR(INDEX(Dipendenti!M:M,SMALL(Dipendenti!$Y$2:$Y$550,ROWS($B$5:N36))), "")</f>
        <v/>
      </c>
      <c r="O36" s="44" t="str" cm="1">
        <f t="array" ref="O36">IFERROR(INDEX(Dipendenti!N:N,SMALL(Dipendenti!$Y$2:$Y$550,ROWS($B$5:O36))), "")</f>
        <v/>
      </c>
      <c r="P36" s="49" t="str" cm="1">
        <f t="array" ref="P36">IFERROR(INDEX(Dipendenti!O:O,SMALL(Dipendenti!$Y$2:$Y$550,ROWS($B$5:P36))), "")</f>
        <v/>
      </c>
    </row>
    <row r="37" spans="2:16" x14ac:dyDescent="0.25">
      <c r="B37" s="44" t="str" cm="1">
        <f t="array" ref="B37">IFERROR(INDEX(Dipendenti!A:A,SMALL(Dipendenti!$Y$2:$Y$550,ROWS($B$5:B37))), "")</f>
        <v/>
      </c>
      <c r="C37" s="44" t="str" cm="1">
        <f t="array" ref="C37">IFERROR(INDEX(Dipendenti!B:B,SMALL(Dipendenti!$Y$2:$Y$550,ROWS($B$5:C37))), "")</f>
        <v/>
      </c>
      <c r="D37" s="45" t="str" cm="1">
        <f t="array" ref="D37">IFERROR(INDEX(Dipendenti!C:C,SMALL(Dipendenti!$Y$2:$Y$550,ROWS($B$5:D37))), "")</f>
        <v/>
      </c>
      <c r="E37" s="44" t="str" cm="1">
        <f t="array" ref="E37">IFERROR(INDEX(Dipendenti!D:D,SMALL(Dipendenti!$Y$2:$Y$550,ROWS($B$5:E37))), "")</f>
        <v/>
      </c>
      <c r="F37" s="44" t="str" cm="1">
        <f t="array" ref="F37">IFERROR(INDEX(Dipendenti!E:E,SMALL(Dipendenti!$Y$2:$Y$550,ROWS($B$5:F37))), "")</f>
        <v/>
      </c>
      <c r="G37" s="44" t="str" cm="1">
        <f t="array" ref="G37">IFERROR(INDEX(Dipendenti!F:F,SMALL(Dipendenti!$Y$2:$Y$550,ROWS($B$5:G37))), "")</f>
        <v/>
      </c>
      <c r="H37" s="44" t="str" cm="1">
        <f t="array" ref="H37">IFERROR(INDEX(Dipendenti!G:G,SMALL(Dipendenti!$Y$2:$Y$550,ROWS($B$5:H37))), "")</f>
        <v/>
      </c>
      <c r="I37" s="45" t="str" cm="1">
        <f t="array" ref="I37">IFERROR(IF(INDEX(Dipendenti!H:H,SMALL(Dipendenti!$Y$2:$Y$550,ROWS($B$5:B37)))=0, "",
INDEX(Dipendenti!H:H,SMALL(Dipendenti!$Y$2:$Y$550,ROWS($B$5:B37)))), "")</f>
        <v/>
      </c>
      <c r="J37" s="45" t="str" cm="1">
        <f t="array" ref="J37">IFERROR(IF(INDEX(Dipendenti!I:I,SMALL(Dipendenti!$Y$2:$Y$550,ROWS($B$5:C37)))=0, "",
INDEX(Dipendenti!I:I,SMALL(Dipendenti!$Y$2:$Y$550,ROWS($B$5:C37)))), "")</f>
        <v/>
      </c>
      <c r="K37" s="45" t="str" cm="1">
        <f t="array" ref="K37">IFERROR(IF(INDEX(Dipendenti!J:J,SMALL(Dipendenti!$Y$2:$Y$550,ROWS($B$5:D37)))=0, "",
INDEX(Dipendenti!J:J,SMALL(Dipendenti!$Y$2:$Y$550,ROWS($B$5:D37)))), "")</f>
        <v/>
      </c>
      <c r="L37" s="44" t="str" cm="1">
        <f t="array" ref="L37">IFERROR(INDEX(Dipendenti!K:K,SMALL(Dipendenti!$Y$2:$Y$550,ROWS($B$5:L37))), "")</f>
        <v/>
      </c>
      <c r="M37" s="44" t="str" cm="1">
        <f t="array" ref="M37">IFERROR(INDEX(Dipendenti!L:L,SMALL(Dipendenti!$Y$2:$Y$550,ROWS($B$5:M37))), "")</f>
        <v/>
      </c>
      <c r="N37" s="44" t="str" cm="1">
        <f t="array" ref="N37">IFERROR(INDEX(Dipendenti!M:M,SMALL(Dipendenti!$Y$2:$Y$550,ROWS($B$5:N37))), "")</f>
        <v/>
      </c>
      <c r="O37" s="44" t="str" cm="1">
        <f t="array" ref="O37">IFERROR(INDEX(Dipendenti!N:N,SMALL(Dipendenti!$Y$2:$Y$550,ROWS($B$5:O37))), "")</f>
        <v/>
      </c>
      <c r="P37" s="49" t="str" cm="1">
        <f t="array" ref="P37">IFERROR(INDEX(Dipendenti!O:O,SMALL(Dipendenti!$Y$2:$Y$550,ROWS($B$5:P37))), "")</f>
        <v/>
      </c>
    </row>
    <row r="38" spans="2:16" x14ac:dyDescent="0.25">
      <c r="B38" s="44" t="str" cm="1">
        <f t="array" ref="B38">IFERROR(INDEX(Dipendenti!A:A,SMALL(Dipendenti!$Y$2:$Y$550,ROWS($B$5:B38))), "")</f>
        <v/>
      </c>
      <c r="C38" s="44" t="str" cm="1">
        <f t="array" ref="C38">IFERROR(INDEX(Dipendenti!B:B,SMALL(Dipendenti!$Y$2:$Y$550,ROWS($B$5:C38))), "")</f>
        <v/>
      </c>
      <c r="D38" s="45" t="str" cm="1">
        <f t="array" ref="D38">IFERROR(INDEX(Dipendenti!C:C,SMALL(Dipendenti!$Y$2:$Y$550,ROWS($B$5:D38))), "")</f>
        <v/>
      </c>
      <c r="E38" s="44" t="str" cm="1">
        <f t="array" ref="E38">IFERROR(INDEX(Dipendenti!D:D,SMALL(Dipendenti!$Y$2:$Y$550,ROWS($B$5:E38))), "")</f>
        <v/>
      </c>
      <c r="F38" s="44" t="str" cm="1">
        <f t="array" ref="F38">IFERROR(INDEX(Dipendenti!E:E,SMALL(Dipendenti!$Y$2:$Y$550,ROWS($B$5:F38))), "")</f>
        <v/>
      </c>
      <c r="G38" s="44" t="str" cm="1">
        <f t="array" ref="G38">IFERROR(INDEX(Dipendenti!F:F,SMALL(Dipendenti!$Y$2:$Y$550,ROWS($B$5:G38))), "")</f>
        <v/>
      </c>
      <c r="H38" s="44" t="str" cm="1">
        <f t="array" ref="H38">IFERROR(INDEX(Dipendenti!G:G,SMALL(Dipendenti!$Y$2:$Y$550,ROWS($B$5:H38))), "")</f>
        <v/>
      </c>
      <c r="I38" s="45" t="str" cm="1">
        <f t="array" ref="I38">IFERROR(IF(INDEX(Dipendenti!H:H,SMALL(Dipendenti!$Y$2:$Y$550,ROWS($B$5:B38)))=0, "",
INDEX(Dipendenti!H:H,SMALL(Dipendenti!$Y$2:$Y$550,ROWS($B$5:B38)))), "")</f>
        <v/>
      </c>
      <c r="J38" s="45" t="str" cm="1">
        <f t="array" ref="J38">IFERROR(IF(INDEX(Dipendenti!I:I,SMALL(Dipendenti!$Y$2:$Y$550,ROWS($B$5:C38)))=0, "",
INDEX(Dipendenti!I:I,SMALL(Dipendenti!$Y$2:$Y$550,ROWS($B$5:C38)))), "")</f>
        <v/>
      </c>
      <c r="K38" s="45" t="str" cm="1">
        <f t="array" ref="K38">IFERROR(IF(INDEX(Dipendenti!J:J,SMALL(Dipendenti!$Y$2:$Y$550,ROWS($B$5:D38)))=0, "",
INDEX(Dipendenti!J:J,SMALL(Dipendenti!$Y$2:$Y$550,ROWS($B$5:D38)))), "")</f>
        <v/>
      </c>
      <c r="L38" s="44" t="str" cm="1">
        <f t="array" ref="L38">IFERROR(INDEX(Dipendenti!K:K,SMALL(Dipendenti!$Y$2:$Y$550,ROWS($B$5:L38))), "")</f>
        <v/>
      </c>
      <c r="M38" s="44" t="str" cm="1">
        <f t="array" ref="M38">IFERROR(INDEX(Dipendenti!L:L,SMALL(Dipendenti!$Y$2:$Y$550,ROWS($B$5:M38))), "")</f>
        <v/>
      </c>
      <c r="N38" s="44" t="str" cm="1">
        <f t="array" ref="N38">IFERROR(INDEX(Dipendenti!M:M,SMALL(Dipendenti!$Y$2:$Y$550,ROWS($B$5:N38))), "")</f>
        <v/>
      </c>
      <c r="O38" s="44" t="str" cm="1">
        <f t="array" ref="O38">IFERROR(INDEX(Dipendenti!N:N,SMALL(Dipendenti!$Y$2:$Y$550,ROWS($B$5:O38))), "")</f>
        <v/>
      </c>
      <c r="P38" s="49" t="str" cm="1">
        <f t="array" ref="P38">IFERROR(INDEX(Dipendenti!O:O,SMALL(Dipendenti!$Y$2:$Y$550,ROWS($B$5:P38))), "")</f>
        <v/>
      </c>
    </row>
    <row r="39" spans="2:16" x14ac:dyDescent="0.25">
      <c r="B39" s="44" t="str" cm="1">
        <f t="array" ref="B39">IFERROR(INDEX(Dipendenti!A:A,SMALL(Dipendenti!$Y$2:$Y$550,ROWS($B$5:B39))), "")</f>
        <v/>
      </c>
      <c r="C39" s="44" t="str" cm="1">
        <f t="array" ref="C39">IFERROR(INDEX(Dipendenti!B:B,SMALL(Dipendenti!$Y$2:$Y$550,ROWS($B$5:C39))), "")</f>
        <v/>
      </c>
      <c r="D39" s="45" t="str" cm="1">
        <f t="array" ref="D39">IFERROR(INDEX(Dipendenti!C:C,SMALL(Dipendenti!$Y$2:$Y$550,ROWS($B$5:D39))), "")</f>
        <v/>
      </c>
      <c r="E39" s="44" t="str" cm="1">
        <f t="array" ref="E39">IFERROR(INDEX(Dipendenti!D:D,SMALL(Dipendenti!$Y$2:$Y$550,ROWS($B$5:E39))), "")</f>
        <v/>
      </c>
      <c r="F39" s="44" t="str" cm="1">
        <f t="array" ref="F39">IFERROR(INDEX(Dipendenti!E:E,SMALL(Dipendenti!$Y$2:$Y$550,ROWS($B$5:F39))), "")</f>
        <v/>
      </c>
      <c r="G39" s="44" t="str" cm="1">
        <f t="array" ref="G39">IFERROR(INDEX(Dipendenti!F:F,SMALL(Dipendenti!$Y$2:$Y$550,ROWS($B$5:G39))), "")</f>
        <v/>
      </c>
      <c r="H39" s="44" t="str" cm="1">
        <f t="array" ref="H39">IFERROR(INDEX(Dipendenti!G:G,SMALL(Dipendenti!$Y$2:$Y$550,ROWS($B$5:H39))), "")</f>
        <v/>
      </c>
      <c r="I39" s="45" t="str" cm="1">
        <f t="array" ref="I39">IFERROR(IF(INDEX(Dipendenti!H:H,SMALL(Dipendenti!$Y$2:$Y$550,ROWS($B$5:B39)))=0, "",
INDEX(Dipendenti!H:H,SMALL(Dipendenti!$Y$2:$Y$550,ROWS($B$5:B39)))), "")</f>
        <v/>
      </c>
      <c r="J39" s="45" t="str" cm="1">
        <f t="array" ref="J39">IFERROR(IF(INDEX(Dipendenti!I:I,SMALL(Dipendenti!$Y$2:$Y$550,ROWS($B$5:C39)))=0, "",
INDEX(Dipendenti!I:I,SMALL(Dipendenti!$Y$2:$Y$550,ROWS($B$5:C39)))), "")</f>
        <v/>
      </c>
      <c r="K39" s="45" t="str" cm="1">
        <f t="array" ref="K39">IFERROR(IF(INDEX(Dipendenti!J:J,SMALL(Dipendenti!$Y$2:$Y$550,ROWS($B$5:D39)))=0, "",
INDEX(Dipendenti!J:J,SMALL(Dipendenti!$Y$2:$Y$550,ROWS($B$5:D39)))), "")</f>
        <v/>
      </c>
      <c r="L39" s="44" t="str" cm="1">
        <f t="array" ref="L39">IFERROR(INDEX(Dipendenti!K:K,SMALL(Dipendenti!$Y$2:$Y$550,ROWS($B$5:L39))), "")</f>
        <v/>
      </c>
      <c r="M39" s="44" t="str" cm="1">
        <f t="array" ref="M39">IFERROR(INDEX(Dipendenti!L:L,SMALL(Dipendenti!$Y$2:$Y$550,ROWS($B$5:M39))), "")</f>
        <v/>
      </c>
      <c r="N39" s="44" t="str" cm="1">
        <f t="array" ref="N39">IFERROR(INDEX(Dipendenti!M:M,SMALL(Dipendenti!$Y$2:$Y$550,ROWS($B$5:N39))), "")</f>
        <v/>
      </c>
      <c r="O39" s="44" t="str" cm="1">
        <f t="array" ref="O39">IFERROR(INDEX(Dipendenti!N:N,SMALL(Dipendenti!$Y$2:$Y$550,ROWS($B$5:O39))), "")</f>
        <v/>
      </c>
      <c r="P39" s="49" t="str" cm="1">
        <f t="array" ref="P39">IFERROR(INDEX(Dipendenti!O:O,SMALL(Dipendenti!$Y$2:$Y$550,ROWS($B$5:P39))), "")</f>
        <v/>
      </c>
    </row>
    <row r="40" spans="2:16" x14ac:dyDescent="0.25">
      <c r="B40" s="44" t="str" cm="1">
        <f t="array" ref="B40">IFERROR(INDEX(Dipendenti!A:A,SMALL(Dipendenti!$Y$2:$Y$550,ROWS($B$5:B40))), "")</f>
        <v/>
      </c>
      <c r="C40" s="44" t="str" cm="1">
        <f t="array" ref="C40">IFERROR(INDEX(Dipendenti!B:B,SMALL(Dipendenti!$Y$2:$Y$550,ROWS($B$5:C40))), "")</f>
        <v/>
      </c>
      <c r="D40" s="44" t="str" cm="1">
        <f t="array" ref="D40">IFERROR(INDEX(Dipendenti!C:C,SMALL(Dipendenti!$Y$2:$Y$550,ROWS($B$5:D40))), "")</f>
        <v/>
      </c>
      <c r="E40" s="44" t="str" cm="1">
        <f t="array" ref="E40">IFERROR(INDEX(Dipendenti!D:D,SMALL(Dipendenti!$Y$2:$Y$550,ROWS($B$5:E40))), "")</f>
        <v/>
      </c>
      <c r="F40" s="44" t="str" cm="1">
        <f t="array" ref="F40">IFERROR(INDEX(Dipendenti!E:E,SMALL(Dipendenti!$Y$2:$Y$550,ROWS($B$5:F40))), "")</f>
        <v/>
      </c>
      <c r="G40" s="44" t="str" cm="1">
        <f t="array" ref="G40">IFERROR(INDEX(Dipendenti!F:F,SMALL(Dipendenti!$Y$2:$Y$550,ROWS($B$5:G40))), "")</f>
        <v/>
      </c>
      <c r="H40" s="44" t="str" cm="1">
        <f t="array" ref="H40">IFERROR(INDEX(Dipendenti!G:G,SMALL(Dipendenti!$Y$2:$Y$550,ROWS($B$5:H40))), "")</f>
        <v/>
      </c>
      <c r="I40" s="45" t="str" cm="1">
        <f t="array" ref="I40">IFERROR(IF(INDEX(Dipendenti!H:H,SMALL(Dipendenti!$Y$2:$Y$550,ROWS($B$5:B40)))=0, "",
INDEX(Dipendenti!H:H,SMALL(Dipendenti!$Y$2:$Y$550,ROWS($B$5:B40)))), "")</f>
        <v/>
      </c>
      <c r="J40" s="45" t="str" cm="1">
        <f t="array" ref="J40">IFERROR(IF(INDEX(Dipendenti!I:I,SMALL(Dipendenti!$Y$2:$Y$550,ROWS($B$5:C40)))=0, "",
INDEX(Dipendenti!I:I,SMALL(Dipendenti!$Y$2:$Y$550,ROWS($B$5:C40)))), "")</f>
        <v/>
      </c>
      <c r="K40" s="45" t="str" cm="1">
        <f t="array" ref="K40">IFERROR(IF(INDEX(Dipendenti!J:J,SMALL(Dipendenti!$Y$2:$Y$550,ROWS($B$5:D40)))=0, "",
INDEX(Dipendenti!J:J,SMALL(Dipendenti!$Y$2:$Y$550,ROWS($B$5:D40)))), "")</f>
        <v/>
      </c>
      <c r="L40" s="44" t="str" cm="1">
        <f t="array" ref="L40">IFERROR(INDEX(Dipendenti!K:K,SMALL(Dipendenti!$Y$2:$Y$550,ROWS($B$5:L40))), "")</f>
        <v/>
      </c>
      <c r="M40" s="44" t="str" cm="1">
        <f t="array" ref="M40">IFERROR(INDEX(Dipendenti!L:L,SMALL(Dipendenti!$Y$2:$Y$550,ROWS($B$5:M40))), "")</f>
        <v/>
      </c>
      <c r="N40" s="44" t="str" cm="1">
        <f t="array" ref="N40">IFERROR(INDEX(Dipendenti!M:M,SMALL(Dipendenti!$Y$2:$Y$550,ROWS($B$5:N40))), "")</f>
        <v/>
      </c>
      <c r="O40" s="44" t="str" cm="1">
        <f t="array" ref="O40">IFERROR(INDEX(Dipendenti!N:N,SMALL(Dipendenti!$Y$2:$Y$550,ROWS($B$5:O40))), "")</f>
        <v/>
      </c>
      <c r="P40" s="49" t="str" cm="1">
        <f t="array" ref="P40">IFERROR(INDEX(Dipendenti!O:O,SMALL(Dipendenti!$Y$2:$Y$550,ROWS($B$5:P40))), 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glio6"/>
  <dimension ref="B1:AB53"/>
  <sheetViews>
    <sheetView showGridLines="0" zoomScale="70" zoomScaleNormal="70" workbookViewId="0">
      <selection activeCell="AE30" sqref="AE30"/>
    </sheetView>
  </sheetViews>
  <sheetFormatPr defaultRowHeight="15" x14ac:dyDescent="0.25"/>
  <cols>
    <col min="1" max="1" width="15.7109375" customWidth="1"/>
    <col min="2" max="2" width="12" bestFit="1" customWidth="1"/>
    <col min="3" max="3" width="13.42578125" bestFit="1" customWidth="1"/>
    <col min="4" max="4" width="9.42578125" bestFit="1" customWidth="1"/>
    <col min="5" max="5" width="6" bestFit="1" customWidth="1"/>
    <col min="6" max="6" width="12.42578125" bestFit="1" customWidth="1"/>
    <col min="7" max="7" width="13.42578125" bestFit="1" customWidth="1"/>
    <col min="8" max="8" width="10.5703125" customWidth="1"/>
    <col min="9" max="10" width="9.7109375" customWidth="1"/>
    <col min="11" max="11" width="13.140625" bestFit="1" customWidth="1"/>
    <col min="12" max="12" width="10.7109375" bestFit="1" customWidth="1"/>
    <col min="13" max="13" width="9.7109375" customWidth="1"/>
    <col min="14" max="14" width="15.7109375" bestFit="1" customWidth="1"/>
    <col min="15" max="15" width="14" bestFit="1" customWidth="1"/>
    <col min="16" max="16" width="14" customWidth="1"/>
    <col min="17" max="19" width="9.7109375" customWidth="1"/>
    <col min="20" max="20" width="20.5703125" bestFit="1" customWidth="1"/>
    <col min="21" max="21" width="25.140625" bestFit="1" customWidth="1"/>
  </cols>
  <sheetData>
    <row r="1" spans="2:28" ht="45" customHeight="1" thickBot="1" x14ac:dyDescent="0.55000000000000004">
      <c r="B1" s="79" t="s">
        <v>34</v>
      </c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 spans="2:28" ht="16.5" thickTop="1" thickBot="1" x14ac:dyDescent="0.3"/>
    <row r="3" spans="2:28" ht="15.75" thickTop="1" x14ac:dyDescent="0.25">
      <c r="B3" s="23"/>
      <c r="C3" s="24"/>
      <c r="D3" s="24"/>
      <c r="E3" s="24"/>
      <c r="F3" s="24"/>
      <c r="G3" s="24"/>
      <c r="H3" s="25"/>
    </row>
    <row r="4" spans="2:28" ht="21" x14ac:dyDescent="0.35">
      <c r="B4" s="26"/>
      <c r="C4" s="77" t="s">
        <v>37</v>
      </c>
      <c r="D4" s="77"/>
      <c r="F4" s="77" t="s">
        <v>47</v>
      </c>
      <c r="G4" s="77"/>
      <c r="H4" s="27"/>
    </row>
    <row r="5" spans="2:28" x14ac:dyDescent="0.25">
      <c r="B5" s="26"/>
      <c r="C5" s="78">
        <f>GETPIVOTDATA("ETA'",Media!$A$3)</f>
        <v>41.46</v>
      </c>
      <c r="D5" s="78"/>
      <c r="F5" s="78">
        <f>GETPIVOTDATA("ANZIANITA'_AZIEN",Media!$A$6)</f>
        <v>6.78</v>
      </c>
      <c r="G5" s="78"/>
      <c r="H5" s="27"/>
    </row>
    <row r="6" spans="2:28" x14ac:dyDescent="0.25">
      <c r="B6" s="26"/>
      <c r="C6" s="78"/>
      <c r="D6" s="78"/>
      <c r="F6" s="78"/>
      <c r="G6" s="78"/>
      <c r="H6" s="27"/>
    </row>
    <row r="7" spans="2:28" x14ac:dyDescent="0.25">
      <c r="B7" s="26"/>
      <c r="C7" s="78"/>
      <c r="D7" s="78"/>
      <c r="F7" s="78"/>
      <c r="G7" s="78"/>
      <c r="H7" s="27"/>
    </row>
    <row r="8" spans="2:28" ht="15.75" thickBot="1" x14ac:dyDescent="0.3">
      <c r="B8" s="28"/>
      <c r="C8" s="29"/>
      <c r="D8" s="29"/>
      <c r="E8" s="29"/>
      <c r="F8" s="29"/>
      <c r="G8" s="29"/>
      <c r="H8" s="30"/>
    </row>
    <row r="9" spans="2:28" ht="15.75" thickTop="1" x14ac:dyDescent="0.25"/>
    <row r="10" spans="2:28" x14ac:dyDescent="0.25">
      <c r="B10" s="18" t="s">
        <v>43</v>
      </c>
      <c r="C10" t="s">
        <v>35</v>
      </c>
    </row>
    <row r="11" spans="2:28" x14ac:dyDescent="0.25">
      <c r="B11" s="21" t="s">
        <v>392</v>
      </c>
      <c r="C11">
        <v>6</v>
      </c>
    </row>
    <row r="12" spans="2:28" x14ac:dyDescent="0.25">
      <c r="B12" s="21" t="s">
        <v>389</v>
      </c>
      <c r="C12">
        <v>13</v>
      </c>
    </row>
    <row r="13" spans="2:28" x14ac:dyDescent="0.25">
      <c r="B13" s="21" t="s">
        <v>390</v>
      </c>
      <c r="C13">
        <v>13</v>
      </c>
    </row>
    <row r="14" spans="2:28" x14ac:dyDescent="0.25">
      <c r="B14" s="21" t="s">
        <v>391</v>
      </c>
      <c r="C14">
        <v>19</v>
      </c>
    </row>
    <row r="15" spans="2:28" x14ac:dyDescent="0.25">
      <c r="B15" s="21" t="s">
        <v>393</v>
      </c>
      <c r="C15">
        <v>5</v>
      </c>
    </row>
    <row r="16" spans="2:28" x14ac:dyDescent="0.25">
      <c r="B16" s="21" t="s">
        <v>32</v>
      </c>
      <c r="C16">
        <v>14</v>
      </c>
    </row>
    <row r="17" spans="2:15" x14ac:dyDescent="0.25">
      <c r="B17" s="21" t="s">
        <v>394</v>
      </c>
      <c r="C17">
        <v>14</v>
      </c>
    </row>
    <row r="18" spans="2:15" x14ac:dyDescent="0.25">
      <c r="B18" s="21" t="s">
        <v>33</v>
      </c>
      <c r="C18">
        <v>13</v>
      </c>
    </row>
    <row r="19" spans="2:15" x14ac:dyDescent="0.25">
      <c r="B19" s="21" t="s">
        <v>395</v>
      </c>
      <c r="C19">
        <v>3</v>
      </c>
    </row>
    <row r="20" spans="2:15" x14ac:dyDescent="0.25">
      <c r="B20" s="21" t="s">
        <v>41</v>
      </c>
      <c r="C20">
        <v>100</v>
      </c>
    </row>
    <row r="30" spans="2:15" x14ac:dyDescent="0.25">
      <c r="B30" s="18" t="s">
        <v>44</v>
      </c>
      <c r="C30" s="22" t="s">
        <v>35</v>
      </c>
      <c r="N30" s="18" t="s">
        <v>45</v>
      </c>
      <c r="O30" t="s">
        <v>42</v>
      </c>
    </row>
    <row r="31" spans="2:15" x14ac:dyDescent="0.25">
      <c r="B31" s="22" t="s">
        <v>31</v>
      </c>
      <c r="C31">
        <v>60</v>
      </c>
      <c r="N31" s="19" t="s">
        <v>368</v>
      </c>
      <c r="O31">
        <v>49</v>
      </c>
    </row>
    <row r="32" spans="2:15" x14ac:dyDescent="0.25">
      <c r="B32" s="22" t="s">
        <v>30</v>
      </c>
      <c r="C32">
        <v>40</v>
      </c>
      <c r="N32" s="19" t="s">
        <v>372</v>
      </c>
      <c r="O32">
        <v>51</v>
      </c>
    </row>
    <row r="33" spans="2:15" x14ac:dyDescent="0.25">
      <c r="B33" s="19" t="s">
        <v>41</v>
      </c>
      <c r="C33">
        <v>100</v>
      </c>
      <c r="N33" s="19" t="s">
        <v>41</v>
      </c>
      <c r="O33">
        <v>100</v>
      </c>
    </row>
    <row r="48" spans="2:15" x14ac:dyDescent="0.25">
      <c r="F48" s="18" t="s">
        <v>52</v>
      </c>
      <c r="G48" t="s">
        <v>35</v>
      </c>
    </row>
    <row r="49" spans="6:7" x14ac:dyDescent="0.25">
      <c r="F49" s="19" t="s">
        <v>19</v>
      </c>
      <c r="G49">
        <v>29</v>
      </c>
    </row>
    <row r="50" spans="6:7" x14ac:dyDescent="0.25">
      <c r="F50" s="19" t="s">
        <v>18</v>
      </c>
      <c r="G50">
        <v>19</v>
      </c>
    </row>
    <row r="51" spans="6:7" x14ac:dyDescent="0.25">
      <c r="F51" s="19" t="s">
        <v>370</v>
      </c>
      <c r="G51">
        <v>20</v>
      </c>
    </row>
    <row r="52" spans="6:7" x14ac:dyDescent="0.25">
      <c r="F52" s="19" t="s">
        <v>373</v>
      </c>
      <c r="G52">
        <v>32</v>
      </c>
    </row>
    <row r="53" spans="6:7" x14ac:dyDescent="0.25">
      <c r="F53" s="19" t="s">
        <v>41</v>
      </c>
      <c r="G53">
        <v>100</v>
      </c>
    </row>
  </sheetData>
  <mergeCells count="5">
    <mergeCell ref="C4:D4"/>
    <mergeCell ref="C5:D7"/>
    <mergeCell ref="F4:G4"/>
    <mergeCell ref="F5:G7"/>
    <mergeCell ref="B1:AB1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glio5"/>
  <dimension ref="B2:O50"/>
  <sheetViews>
    <sheetView zoomScale="90" zoomScaleNormal="90" workbookViewId="0">
      <selection activeCell="E28" sqref="E28"/>
    </sheetView>
  </sheetViews>
  <sheetFormatPr defaultRowHeight="15" outlineLevelRow="1" x14ac:dyDescent="0.25"/>
  <cols>
    <col min="1" max="1" width="6.28515625" customWidth="1"/>
    <col min="2" max="2" width="38.28515625" bestFit="1" customWidth="1"/>
    <col min="3" max="3" width="13.42578125" bestFit="1" customWidth="1"/>
    <col min="4" max="4" width="22" bestFit="1" customWidth="1"/>
    <col min="5" max="5" width="26.85546875" bestFit="1" customWidth="1"/>
    <col min="6" max="6" width="18.85546875" bestFit="1" customWidth="1"/>
    <col min="7" max="7" width="18.85546875" customWidth="1"/>
    <col min="8" max="8" width="23.5703125" bestFit="1" customWidth="1"/>
    <col min="9" max="9" width="23.42578125" bestFit="1" customWidth="1"/>
    <col min="10" max="10" width="21.7109375" customWidth="1"/>
    <col min="12" max="12" width="10.42578125" bestFit="1" customWidth="1"/>
  </cols>
  <sheetData>
    <row r="2" spans="2:10" outlineLevel="1" x14ac:dyDescent="0.25">
      <c r="C2" s="11" t="s">
        <v>4</v>
      </c>
      <c r="D2" s="2">
        <v>45658</v>
      </c>
      <c r="E2" s="2"/>
      <c r="F2" s="37" t="s">
        <v>6</v>
      </c>
      <c r="G2" s="38">
        <v>20.38</v>
      </c>
    </row>
    <row r="3" spans="2:10" outlineLevel="1" x14ac:dyDescent="0.25">
      <c r="C3" s="12" t="s">
        <v>5</v>
      </c>
      <c r="D3" s="2">
        <v>45658</v>
      </c>
      <c r="E3" s="2"/>
      <c r="F3" s="2"/>
      <c r="I3" s="3"/>
    </row>
    <row r="4" spans="2:10" outlineLevel="1" x14ac:dyDescent="0.25">
      <c r="C4" s="10" t="s">
        <v>14</v>
      </c>
      <c r="D4" s="15" t="s">
        <v>25</v>
      </c>
      <c r="E4" s="15"/>
    </row>
    <row r="6" spans="2:10" x14ac:dyDescent="0.25">
      <c r="I6" s="16">
        <f>SUM(I8:I50)</f>
        <v>284.41666666666663</v>
      </c>
      <c r="J6" s="16">
        <f>SUM(J8:J50)</f>
        <v>42.925722222222248</v>
      </c>
    </row>
    <row r="7" spans="2:10" s="7" customFormat="1" ht="44.25" customHeight="1" x14ac:dyDescent="0.25">
      <c r="C7" s="4" t="s">
        <v>3</v>
      </c>
      <c r="D7" s="42" t="str">
        <f>"FERIE MATURATE AL " &amp;TEXT($D$3,"gg/mm/aaaa")</f>
        <v>FERIE MATURATE AL 01/01/2025</v>
      </c>
      <c r="E7" s="43" t="str">
        <f>"CHIUSURE AZIENDALI AL " &amp;TEXT($D$3,"gg/mm/aaaa")</f>
        <v>CHIUSURE AZIENDALI AL 01/01/2025</v>
      </c>
      <c r="F7" s="41" t="str">
        <f>"FERIE GODUTE AL " &amp;TEXT($D$3,"gg/mm/aaaa")</f>
        <v>FERIE GODUTE AL 01/01/2025</v>
      </c>
      <c r="G7" s="35" t="str">
        <f>"FERIE GODUTE GG EQUIVALENTI AL " &amp; TEXT($D$3, "gg/mm/aaaa")</f>
        <v>FERIE GODUTE GG EQUIVALENTI AL 01/01/2025</v>
      </c>
      <c r="H7" s="6" t="str">
        <f>"FERIE PIANIFICATE AL "&amp;TEXT($D$3,"gg/mm/aaaa")</f>
        <v>FERIE PIANIFICATE AL 01/01/2025</v>
      </c>
      <c r="I7" s="33" t="str">
        <f>"PROIEZIONE FERIE AL "&amp;TEXT($D$3,"GG/MM/AAAA")</f>
        <v>PROIEZIONE FERIE AL 01/01/2025</v>
      </c>
      <c r="J7" s="8" t="str">
        <f>"GG EQUIVALENTI AL "&amp;TEXT($D$3,"GG/MM/AAAA")</f>
        <v>GG EQUIVALENTI AL 01/01/2025</v>
      </c>
    </row>
    <row r="8" spans="2:10" x14ac:dyDescent="0.25">
      <c r="B8" t="str">
        <f t="array" ref="B8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ROW(A1))), "")</f>
        <v>Alessandro Esposito</v>
      </c>
      <c r="C8" s="5">
        <f>IFERROR(VLOOKUP($B8,SaldiFerie!A:C,3,FALSE),"")</f>
        <v>-8.3333333333333339</v>
      </c>
      <c r="D8" s="36">
        <f>IF(B8="","",IF(INDEX(Dipendenti!H:H,MATCH(B8,Dipendenti!A:A,0))&lt;$D$2,
(MONTH($D$3)-MONTH($D$2))*2.83*(INDEX(Dipendenti!O:O,MATCH(B8,Dipendenti!A:A,0))/6),
IF(DAY(INDEX(Dipendenti!H:H,MATCH(B8,Dipendenti!A:A,0)))&lt;15,
(MONTH($D$3)-MONTH(INDEX(Dipendenti!H:H,MATCH(B8,Dipendenti!A:A,0))))*2.83*(INDEX(Dipendenti!O:O,MATCH(B8,Dipendenti!A:A,0))/6),
((MONTH($D$3)-MONTH(INDEX(Dipendenti!H:H,MATCH(B8,Dipendenti!A:A,0))))*2.83*(INDEX(Dipendenti!O:O,MATCH(B8,Dipendenti!A:A,0))/6)+
((_xlfn.DAYS(EOMONTH(INDEX(Dipendenti!H:H,MATCH(B8,Dipendenti!A:A,0)),0),
INDEX(Dipendenti!H:H,MATCH(B8,Dipendenti!A:A,0)))+1)/(_xlfn.DAYS(EOMONTH(INDEX(Dipendenti!H:H,MATCH(B8,Dipendenti!A:A,0)),0),
EOMONTH(INDEX(Dipendenti!H:H,MATCH(B8,Dipendenti!A:A,0)),-1)+1)+1)
)*2.83*(INDEX(Dipendenti!O:O,MATCH(B8,Dipendenti!A:A,0))/6)
)
)
))</f>
        <v>0</v>
      </c>
      <c r="E8" s="5">
        <f>IF($B8="","",COUNTIFS(ChiusureAziendali!$A:$A,"&gt;"&amp;$D$2,ChiusureAziendali!$A:$A,"&lt;="&amp;$D$3)*7.12)</f>
        <v>0</v>
      </c>
      <c r="F8" s="5">
        <f>IF($B8="","",SUMIFS(Registro_Ferie!$C:$C, Registro_Ferie!$A:$A,$B8, Registro_Ferie!$D:$D, "ferie_g", Registro_Ferie!$B:$B, "&gt;="&amp;$D$2, Registro_Ferie!$C:$C, "&lt;="&amp;$D$3) +
SUMIFS(Registro_Ferie!$C:$C, Registro_Ferie!$A:$A,$B8, Registro_Ferie!$D:$D, "ferie_g", Registro_Ferie!$B:$B, "&gt;="&amp;$D$2, Registro_Ferie!$B:$B, "&lt;="&amp;$D$3))</f>
        <v>182.71999999999997</v>
      </c>
      <c r="G8" s="5">
        <f>IFERROR($F8 / (INDEX(Dipendenti!$O:$O, MATCH($B8, Dipendenti!$A:$A, 0)) / 6), "")</f>
        <v>43.852799999999988</v>
      </c>
      <c r="H8" s="5">
        <f>IF($B8="","",SUMIFS(Registro_Ferie!$C:$C, Registro_Ferie!$A:$A,$B8, Registro_Ferie!$D:$D, "ferie", Registro_Ferie!$B:$B, "&gt;="&amp;$D$2, Registro_Ferie!$C:$C, "&lt;="&amp;$D$3) +
SUMIFS(Registro_Ferie!$C:$C, Registro_Ferie!$A:$A,$B8, Registro_Ferie!$D:$D, "ferie", Registro_Ferie!$B:$B, "&gt;="&amp;$D$2, Registro_Ferie!$B:$B, "&lt;="&amp;$D$3))</f>
        <v>0</v>
      </c>
      <c r="I8" s="17">
        <f>IFERROR(C8+D8-E8-F8-H8,"")</f>
        <v>-191.05333333333331</v>
      </c>
      <c r="J8" s="5">
        <f>IFERROR($I8 / (INDEX(Dipendenti!$O:$O, MATCH($B8, Dipendenti!$A:$A, 0)) / 5), "")</f>
        <v>-38.210666666666661</v>
      </c>
    </row>
    <row r="9" spans="2:10" x14ac:dyDescent="0.25">
      <c r="B9" t="str">
        <f t="array" ref="B9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ROW(A2))), "")</f>
        <v>Andrea Totti</v>
      </c>
      <c r="C9" s="5">
        <f>IFERROR(VLOOKUP($B9,SaldiFerie!A:C,3,FALSE),"")</f>
        <v>162.5</v>
      </c>
      <c r="D9" s="36">
        <f>IF(B9="","",IF(INDEX(Dipendenti!H:H,MATCH(B9,Dipendenti!A:A,0))&lt;$D$2,
(MONTH($D$3)-MONTH($D$2))*2.83*(INDEX(Dipendenti!O:O,MATCH(B9,Dipendenti!A:A,0))/6),
IF(DAY(INDEX(Dipendenti!H:H,MATCH(B9,Dipendenti!A:A,0)))&lt;15,
(MONTH($D$3)-MONTH(INDEX(Dipendenti!H:H,MATCH(B9,Dipendenti!A:A,0))))*2.83*(INDEX(Dipendenti!O:O,MATCH(B9,Dipendenti!A:A,0))/6),
((MONTH($D$3)-MONTH(INDEX(Dipendenti!H:H,MATCH(B9,Dipendenti!A:A,0))))*2.83*(INDEX(Dipendenti!O:O,MATCH(B9,Dipendenti!A:A,0))/6)+
((_xlfn.DAYS(EOMONTH(INDEX(Dipendenti!H:H,MATCH(B9,Dipendenti!A:A,0)),0),
INDEX(Dipendenti!H:H,MATCH(B9,Dipendenti!A:A,0)))+1)/(_xlfn.DAYS(EOMONTH(INDEX(Dipendenti!H:H,MATCH(B9,Dipendenti!A:A,0)),0),
EOMONTH(INDEX(Dipendenti!H:H,MATCH(B9,Dipendenti!A:A,0)),-1)+1)+1)
)*2.83*(INDEX(Dipendenti!O:O,MATCH(B9,Dipendenti!A:A,0))/6)
)
)
))</f>
        <v>0</v>
      </c>
      <c r="E9" s="5">
        <f>IF($B9="","",COUNTIFS(ChiusureAziendali!$A:$A,"&gt;"&amp;$D$2,ChiusureAziendali!$A:$A,"&lt;="&amp;$D$3)*7.12)</f>
        <v>0</v>
      </c>
      <c r="F9" s="5">
        <f>IF($B9="","",SUMIFS(Registro_Ferie!$C:$C, Registro_Ferie!$A:$A,$B9, Registro_Ferie!$D:$D, "ferie_g", Registro_Ferie!$B:$B, "&gt;="&amp;$D$2, Registro_Ferie!$C:$C, "&lt;="&amp;$D$3) +
SUMIFS(Registro_Ferie!$C:$C, Registro_Ferie!$A:$A,$B9, Registro_Ferie!$D:$D, "ferie_g", Registro_Ferie!$B:$B, "&gt;="&amp;$D$2, Registro_Ferie!$B:$B, "&lt;="&amp;$D$3))</f>
        <v>0</v>
      </c>
      <c r="G9" s="5">
        <f>IFERROR($F9 / (INDEX(Dipendenti!$O:$O, MATCH($B9, Dipendenti!$A:$A, 0)) / 6), "")</f>
        <v>0</v>
      </c>
      <c r="H9" s="5">
        <f>IF($B9="","",SUMIFS(Registro_Ferie!$C:$C, Registro_Ferie!$A:$A,$B9, Registro_Ferie!$D:$D, "ferie", Registro_Ferie!$B:$B, "&gt;="&amp;$D$2, Registro_Ferie!$C:$C, "&lt;="&amp;$D$3) +
SUMIFS(Registro_Ferie!$C:$C, Registro_Ferie!$A:$A,$B9, Registro_Ferie!$D:$D, "ferie", Registro_Ferie!$B:$B, "&gt;="&amp;$D$2, Registro_Ferie!$B:$B, "&lt;="&amp;$D$3))</f>
        <v>0</v>
      </c>
      <c r="I9" s="17">
        <f t="shared" ref="I9:I21" si="0">IFERROR(C9+D9-E9-F9-H9,"")</f>
        <v>162.5</v>
      </c>
      <c r="J9" s="5">
        <f>IFERROR($I9 / (INDEX(Dipendenti!$O:$O, MATCH($B9, Dipendenti!$A:$A, 0)) / 5), "")</f>
        <v>32.5</v>
      </c>
    </row>
    <row r="10" spans="2:10" x14ac:dyDescent="0.25">
      <c r="B10" t="str">
        <f t="array" ref="B10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ROW(A3))), "")</f>
        <v>Chiara Romano</v>
      </c>
      <c r="C10" s="5">
        <f>IFERROR(VLOOKUP($B10,SaldiFerie!A:C,3,FALSE),"")</f>
        <v>245</v>
      </c>
      <c r="D10" s="36">
        <f>IF(B10="","",IF(INDEX(Dipendenti!H:H,MATCH(B10,Dipendenti!A:A,0))&lt;$D$2,
(MONTH($D$3)-MONTH($D$2))*2.83*(INDEX(Dipendenti!O:O,MATCH(B10,Dipendenti!A:A,0))/6),
IF(DAY(INDEX(Dipendenti!H:H,MATCH(B10,Dipendenti!A:A,0)))&lt;15,
(MONTH($D$3)-MONTH(INDEX(Dipendenti!H:H,MATCH(B10,Dipendenti!A:A,0))))*2.83*(INDEX(Dipendenti!O:O,MATCH(B10,Dipendenti!A:A,0))/6),
((MONTH($D$3)-MONTH(INDEX(Dipendenti!H:H,MATCH(B10,Dipendenti!A:A,0))))*2.83*(INDEX(Dipendenti!O:O,MATCH(B10,Dipendenti!A:A,0))/6)+
((_xlfn.DAYS(EOMONTH(INDEX(Dipendenti!H:H,MATCH(B10,Dipendenti!A:A,0)),0),
INDEX(Dipendenti!H:H,MATCH(B10,Dipendenti!A:A,0)))+1)/(_xlfn.DAYS(EOMONTH(INDEX(Dipendenti!H:H,MATCH(B10,Dipendenti!A:A,0)),0),
EOMONTH(INDEX(Dipendenti!H:H,MATCH(B10,Dipendenti!A:A,0)),-1)+1)+1)
)*2.83*(INDEX(Dipendenti!O:O,MATCH(B10,Dipendenti!A:A,0))/6)
)
)
))</f>
        <v>0</v>
      </c>
      <c r="E10" s="5">
        <f>IF($B10="","",COUNTIFS(ChiusureAziendali!$A:$A,"&gt;"&amp;$D$2,ChiusureAziendali!$A:$A,"&lt;="&amp;$D$3)*7.12)</f>
        <v>0</v>
      </c>
      <c r="F10" s="5">
        <f>IF($B10="","",SUMIFS(Registro_Ferie!$C:$C, Registro_Ferie!$A:$A,$B10, Registro_Ferie!$D:$D, "ferie_g", Registro_Ferie!$B:$B, "&gt;="&amp;$D$2, Registro_Ferie!$C:$C, "&lt;="&amp;$D$3) +
SUMIFS(Registro_Ferie!$C:$C, Registro_Ferie!$A:$A,$B10, Registro_Ferie!$D:$D, "ferie_g", Registro_Ferie!$B:$B, "&gt;="&amp;$D$2, Registro_Ferie!$B:$B, "&lt;="&amp;$D$3))</f>
        <v>58.940000000000005</v>
      </c>
      <c r="G10" s="5">
        <f>IFERROR($F10 / (INDEX(Dipendenti!$O:$O, MATCH($B10, Dipendenti!$A:$A, 0)) / 6), "")</f>
        <v>11.788</v>
      </c>
      <c r="H10" s="5">
        <f>IF($B10="","",SUMIFS(Registro_Ferie!$C:$C, Registro_Ferie!$A:$A,$B10, Registro_Ferie!$D:$D, "ferie", Registro_Ferie!$B:$B, "&gt;="&amp;$D$2, Registro_Ferie!$C:$C, "&lt;="&amp;$D$3) +
SUMIFS(Registro_Ferie!$C:$C, Registro_Ferie!$A:$A,$B10, Registro_Ferie!$D:$D, "ferie", Registro_Ferie!$B:$B, "&gt;="&amp;$D$2, Registro_Ferie!$B:$B, "&lt;="&amp;$D$3))</f>
        <v>0</v>
      </c>
      <c r="I10" s="17">
        <f t="shared" si="0"/>
        <v>186.06</v>
      </c>
      <c r="J10" s="5">
        <f>IFERROR($I10 / (INDEX(Dipendenti!$O:$O, MATCH($B10, Dipendenti!$A:$A, 0)) / 5), "")</f>
        <v>31.01</v>
      </c>
    </row>
    <row r="11" spans="2:10" x14ac:dyDescent="0.25">
      <c r="B11" t="str">
        <f t="array" ref="B11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ROW(A4))), "")</f>
        <v>Elena Gallo</v>
      </c>
      <c r="C11" s="5">
        <f>IFERROR(VLOOKUP($B11,SaldiFerie!A:C,3,FALSE),"")</f>
        <v>120</v>
      </c>
      <c r="D11" s="36">
        <f>IF(B11="","",IF(INDEX(Dipendenti!H:H,MATCH(B11,Dipendenti!A:A,0))&lt;$D$2,
(MONTH($D$3)-MONTH($D$2))*2.83*(INDEX(Dipendenti!O:O,MATCH(B11,Dipendenti!A:A,0))/6),
IF(DAY(INDEX(Dipendenti!H:H,MATCH(B11,Dipendenti!A:A,0)))&lt;15,
(MONTH($D$3)-MONTH(INDEX(Dipendenti!H:H,MATCH(B11,Dipendenti!A:A,0))))*2.83*(INDEX(Dipendenti!O:O,MATCH(B11,Dipendenti!A:A,0))/6),
((MONTH($D$3)-MONTH(INDEX(Dipendenti!H:H,MATCH(B11,Dipendenti!A:A,0))))*2.83*(INDEX(Dipendenti!O:O,MATCH(B11,Dipendenti!A:A,0))/6)+
((_xlfn.DAYS(EOMONTH(INDEX(Dipendenti!H:H,MATCH(B11,Dipendenti!A:A,0)),0),
INDEX(Dipendenti!H:H,MATCH(B11,Dipendenti!A:A,0)))+1)/(_xlfn.DAYS(EOMONTH(INDEX(Dipendenti!H:H,MATCH(B11,Dipendenti!A:A,0)),0),
EOMONTH(INDEX(Dipendenti!H:H,MATCH(B11,Dipendenti!A:A,0)),-1)+1)+1)
)*2.83*(INDEX(Dipendenti!O:O,MATCH(B11,Dipendenti!A:A,0))/6)
)
)
))</f>
        <v>0</v>
      </c>
      <c r="E11" s="5">
        <f>IF($B11="","",COUNTIFS(ChiusureAziendali!$A:$A,"&gt;"&amp;$D$2,ChiusureAziendali!$A:$A,"&lt;="&amp;$D$3)*7.12)</f>
        <v>0</v>
      </c>
      <c r="F11" s="5">
        <f>IF($B11="","",SUMIFS(Registro_Ferie!$C:$C, Registro_Ferie!$A:$A,$B11, Registro_Ferie!$D:$D, "ferie_g", Registro_Ferie!$B:$B, "&gt;="&amp;$D$2, Registro_Ferie!$C:$C, "&lt;="&amp;$D$3) +
SUMIFS(Registro_Ferie!$C:$C, Registro_Ferie!$A:$A,$B11, Registro_Ferie!$D:$D, "ferie_g", Registro_Ferie!$B:$B, "&gt;="&amp;$D$2, Registro_Ferie!$B:$B, "&lt;="&amp;$D$3))</f>
        <v>0</v>
      </c>
      <c r="G11" s="5">
        <f>IFERROR($F11 / (INDEX(Dipendenti!$O:$O, MATCH($B11, Dipendenti!$A:$A, 0)) / 6), "")</f>
        <v>0</v>
      </c>
      <c r="H11" s="5">
        <f>IF($B11="","",SUMIFS(Registro_Ferie!$C:$C, Registro_Ferie!$A:$A,$B11, Registro_Ferie!$D:$D, "ferie", Registro_Ferie!$B:$B, "&gt;="&amp;$D$2, Registro_Ferie!$C:$C, "&lt;="&amp;$D$3) +
SUMIFS(Registro_Ferie!$C:$C, Registro_Ferie!$A:$A,$B11, Registro_Ferie!$D:$D, "ferie", Registro_Ferie!$B:$B, "&gt;="&amp;$D$2, Registro_Ferie!$B:$B, "&lt;="&amp;$D$3))</f>
        <v>0</v>
      </c>
      <c r="I11" s="17">
        <f t="shared" si="0"/>
        <v>120</v>
      </c>
      <c r="J11" s="5">
        <f>IFERROR($I11 / (INDEX(Dipendenti!$O:$O, MATCH($B11, Dipendenti!$A:$A, 0)) / 5), "")</f>
        <v>16.666666666666668</v>
      </c>
    </row>
    <row r="12" spans="2:10" x14ac:dyDescent="0.25">
      <c r="B12" t="str">
        <f t="array" ref="B12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ROW(A5))), "")</f>
        <v>Elena Romano</v>
      </c>
      <c r="C12" s="5">
        <f>IFERROR(VLOOKUP($B12,SaldiFerie!A:C,3,FALSE),"")</f>
        <v>252</v>
      </c>
      <c r="D12" s="36">
        <f>IF(B12="","",IF(INDEX(Dipendenti!H:H,MATCH(B12,Dipendenti!A:A,0))&lt;$D$2,
(MONTH($D$3)-MONTH($D$2))*2.83*(INDEX(Dipendenti!O:O,MATCH(B12,Dipendenti!A:A,0))/6),
IF(DAY(INDEX(Dipendenti!H:H,MATCH(B12,Dipendenti!A:A,0)))&lt;15,
(MONTH($D$3)-MONTH(INDEX(Dipendenti!H:H,MATCH(B12,Dipendenti!A:A,0))))*2.83*(INDEX(Dipendenti!O:O,MATCH(B12,Dipendenti!A:A,0))/6),
((MONTH($D$3)-MONTH(INDEX(Dipendenti!H:H,MATCH(B12,Dipendenti!A:A,0))))*2.83*(INDEX(Dipendenti!O:O,MATCH(B12,Dipendenti!A:A,0))/6)+
((_xlfn.DAYS(EOMONTH(INDEX(Dipendenti!H:H,MATCH(B12,Dipendenti!A:A,0)),0),
INDEX(Dipendenti!H:H,MATCH(B12,Dipendenti!A:A,0)))+1)/(_xlfn.DAYS(EOMONTH(INDEX(Dipendenti!H:H,MATCH(B12,Dipendenti!A:A,0)),0),
EOMONTH(INDEX(Dipendenti!H:H,MATCH(B12,Dipendenti!A:A,0)),-1)+1)+1)
)*2.83*(INDEX(Dipendenti!O:O,MATCH(B12,Dipendenti!A:A,0))/6)
)
)
))</f>
        <v>0</v>
      </c>
      <c r="E12" s="5">
        <f>IF($B12="","",COUNTIFS(ChiusureAziendali!$A:$A,"&gt;"&amp;$D$2,ChiusureAziendali!$A:$A,"&lt;="&amp;$D$3)*7.12)</f>
        <v>0</v>
      </c>
      <c r="F12" s="5">
        <f>IF($B12="","",SUMIFS(Registro_Ferie!$C:$C, Registro_Ferie!$A:$A,$B12, Registro_Ferie!$D:$D, "ferie_g", Registro_Ferie!$B:$B, "&gt;="&amp;$D$2, Registro_Ferie!$C:$C, "&lt;="&amp;$D$3) +
SUMIFS(Registro_Ferie!$C:$C, Registro_Ferie!$A:$A,$B12, Registro_Ferie!$D:$D, "ferie_g", Registro_Ferie!$B:$B, "&gt;="&amp;$D$2, Registro_Ferie!$B:$B, "&lt;="&amp;$D$3))</f>
        <v>102.53000000000002</v>
      </c>
      <c r="G12" s="5">
        <f>IFERROR($F12 / (INDEX(Dipendenti!$O:$O, MATCH($B12, Dipendenti!$A:$A, 0)) / 6), "")</f>
        <v>17.088333333333335</v>
      </c>
      <c r="H12" s="5">
        <f>IF($B12="","",SUMIFS(Registro_Ferie!$C:$C, Registro_Ferie!$A:$A,$B12, Registro_Ferie!$D:$D, "ferie", Registro_Ferie!$B:$B, "&gt;="&amp;$D$2, Registro_Ferie!$C:$C, "&lt;="&amp;$D$3) +
SUMIFS(Registro_Ferie!$C:$C, Registro_Ferie!$A:$A,$B12, Registro_Ferie!$D:$D, "ferie", Registro_Ferie!$B:$B, "&gt;="&amp;$D$2, Registro_Ferie!$B:$B, "&lt;="&amp;$D$3))</f>
        <v>0</v>
      </c>
      <c r="I12" s="17">
        <f t="shared" si="0"/>
        <v>149.46999999999997</v>
      </c>
      <c r="J12" s="5">
        <f>IFERROR($I12 / (INDEX(Dipendenti!$O:$O, MATCH($B12, Dipendenti!$A:$A, 0)) / 5), "")</f>
        <v>20.759722222222219</v>
      </c>
    </row>
    <row r="13" spans="2:10" x14ac:dyDescent="0.25">
      <c r="B13" t="str">
        <f t="array" ref="B13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ROW(A6))), "")</f>
        <v>Francesco Totti</v>
      </c>
      <c r="C13" s="5">
        <f>IFERROR(VLOOKUP($B13,SaldiFerie!A:C,3,FALSE),"")</f>
        <v>90</v>
      </c>
      <c r="D13" s="36">
        <f>IF(B13="","",IF(INDEX(Dipendenti!H:H,MATCH(B13,Dipendenti!A:A,0))&lt;$D$2,
(MONTH($D$3)-MONTH($D$2))*2.83*(INDEX(Dipendenti!O:O,MATCH(B13,Dipendenti!A:A,0))/6),
IF(DAY(INDEX(Dipendenti!H:H,MATCH(B13,Dipendenti!A:A,0)))&lt;15,
(MONTH($D$3)-MONTH(INDEX(Dipendenti!H:H,MATCH(B13,Dipendenti!A:A,0))))*2.83*(INDEX(Dipendenti!O:O,MATCH(B13,Dipendenti!A:A,0))/6),
((MONTH($D$3)-MONTH(INDEX(Dipendenti!H:H,MATCH(B13,Dipendenti!A:A,0))))*2.83*(INDEX(Dipendenti!O:O,MATCH(B13,Dipendenti!A:A,0))/6)+
((_xlfn.DAYS(EOMONTH(INDEX(Dipendenti!H:H,MATCH(B13,Dipendenti!A:A,0)),0),
INDEX(Dipendenti!H:H,MATCH(B13,Dipendenti!A:A,0)))+1)/(_xlfn.DAYS(EOMONTH(INDEX(Dipendenti!H:H,MATCH(B13,Dipendenti!A:A,0)),0),
EOMONTH(INDEX(Dipendenti!H:H,MATCH(B13,Dipendenti!A:A,0)),-1)+1)+1)
)*2.83*(INDEX(Dipendenti!O:O,MATCH(B13,Dipendenti!A:A,0))/6)
)
)
))</f>
        <v>0</v>
      </c>
      <c r="E13" s="5">
        <f>IF($B13="","",COUNTIFS(ChiusureAziendali!$A:$A,"&gt;"&amp;$D$2,ChiusureAziendali!$A:$A,"&lt;="&amp;$D$3)*7.12)</f>
        <v>0</v>
      </c>
      <c r="F13" s="5">
        <f>IF($B13="","",SUMIFS(Registro_Ferie!$C:$C, Registro_Ferie!$A:$A,$B13, Registro_Ferie!$D:$D, "ferie_g", Registro_Ferie!$B:$B, "&gt;="&amp;$D$2, Registro_Ferie!$C:$C, "&lt;="&amp;$D$3) +
SUMIFS(Registro_Ferie!$C:$C, Registro_Ferie!$A:$A,$B13, Registro_Ferie!$D:$D, "ferie_g", Registro_Ferie!$B:$B, "&gt;="&amp;$D$2, Registro_Ferie!$B:$B, "&lt;="&amp;$D$3))</f>
        <v>70.2</v>
      </c>
      <c r="G13" s="5">
        <f>IFERROR($F13 / (INDEX(Dipendenti!$O:$O, MATCH($B13, Dipendenti!$A:$A, 0)) / 6), "")</f>
        <v>11.700000000000001</v>
      </c>
      <c r="H13" s="5">
        <f>IF($B13="","",SUMIFS(Registro_Ferie!$C:$C, Registro_Ferie!$A:$A,$B13, Registro_Ferie!$D:$D, "ferie", Registro_Ferie!$B:$B, "&gt;="&amp;$D$2, Registro_Ferie!$C:$C, "&lt;="&amp;$D$3) +
SUMIFS(Registro_Ferie!$C:$C, Registro_Ferie!$A:$A,$B13, Registro_Ferie!$D:$D, "ferie", Registro_Ferie!$B:$B, "&gt;="&amp;$D$2, Registro_Ferie!$B:$B, "&lt;="&amp;$D$3))</f>
        <v>0</v>
      </c>
      <c r="I13" s="17">
        <f t="shared" si="0"/>
        <v>19.799999999999997</v>
      </c>
      <c r="J13" s="5">
        <f>IFERROR($I13 / (INDEX(Dipendenti!$O:$O, MATCH($B13, Dipendenti!$A:$A, 0)) / 5), "")</f>
        <v>2.7499999999999996</v>
      </c>
    </row>
    <row r="14" spans="2:10" x14ac:dyDescent="0.25">
      <c r="B14" t="str">
        <f t="array" ref="B14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ROW(A7))), "")</f>
        <v>Marco Mengoni</v>
      </c>
      <c r="C14" s="5">
        <f>IFERROR(VLOOKUP($B14,SaldiFerie!A:C,3,FALSE),"")</f>
        <v>36</v>
      </c>
      <c r="D14" s="36">
        <f>IF(B14="","",IF(INDEX(Dipendenti!H:H,MATCH(B14,Dipendenti!A:A,0))&lt;$D$2,
(MONTH($D$3)-MONTH($D$2))*2.83*(INDEX(Dipendenti!O:O,MATCH(B14,Dipendenti!A:A,0))/6),
IF(DAY(INDEX(Dipendenti!H:H,MATCH(B14,Dipendenti!A:A,0)))&lt;15,
(MONTH($D$3)-MONTH(INDEX(Dipendenti!H:H,MATCH(B14,Dipendenti!A:A,0))))*2.83*(INDEX(Dipendenti!O:O,MATCH(B14,Dipendenti!A:A,0))/6),
((MONTH($D$3)-MONTH(INDEX(Dipendenti!H:H,MATCH(B14,Dipendenti!A:A,0))))*2.83*(INDEX(Dipendenti!O:O,MATCH(B14,Dipendenti!A:A,0))/6)+
((_xlfn.DAYS(EOMONTH(INDEX(Dipendenti!H:H,MATCH(B14,Dipendenti!A:A,0)),0),
INDEX(Dipendenti!H:H,MATCH(B14,Dipendenti!A:A,0)))+1)/(_xlfn.DAYS(EOMONTH(INDEX(Dipendenti!H:H,MATCH(B14,Dipendenti!A:A,0)),0),
EOMONTH(INDEX(Dipendenti!H:H,MATCH(B14,Dipendenti!A:A,0)),-1)+1)+1)
)*2.83*(INDEX(Dipendenti!O:O,MATCH(B14,Dipendenti!A:A,0))/6)
)
)
))</f>
        <v>0</v>
      </c>
      <c r="E14" s="5">
        <f>IF($B14="","",COUNTIFS(ChiusureAziendali!$A:$A,"&gt;"&amp;$D$2,ChiusureAziendali!$A:$A,"&lt;="&amp;$D$3)*7.12)</f>
        <v>0</v>
      </c>
      <c r="F14" s="5">
        <f>IF($B14="","",SUMIFS(Registro_Ferie!$C:$C, Registro_Ferie!$A:$A,$B14, Registro_Ferie!$D:$D, "ferie_g", Registro_Ferie!$B:$B, "&gt;="&amp;$D$2, Registro_Ferie!$C:$C, "&lt;="&amp;$D$3) +
SUMIFS(Registro_Ferie!$C:$C, Registro_Ferie!$A:$A,$B14, Registro_Ferie!$D:$D, "ferie_g", Registro_Ferie!$B:$B, "&gt;="&amp;$D$2, Registro_Ferie!$B:$B, "&lt;="&amp;$D$3))</f>
        <v>58.12</v>
      </c>
      <c r="G14" s="5">
        <f>IFERROR($F14 / (INDEX(Dipendenti!$O:$O, MATCH($B14, Dipendenti!$A:$A, 0)) / 6), "")</f>
        <v>9.6866666666666656</v>
      </c>
      <c r="H14" s="5">
        <f>IF($B14="","",SUMIFS(Registro_Ferie!$C:$C, Registro_Ferie!$A:$A,$B14, Registro_Ferie!$D:$D, "ferie", Registro_Ferie!$B:$B, "&gt;="&amp;$D$2, Registro_Ferie!$C:$C, "&lt;="&amp;$D$3) +
SUMIFS(Registro_Ferie!$C:$C, Registro_Ferie!$A:$A,$B14, Registro_Ferie!$D:$D, "ferie", Registro_Ferie!$B:$B, "&gt;="&amp;$D$2, Registro_Ferie!$B:$B, "&lt;="&amp;$D$3))</f>
        <v>0</v>
      </c>
      <c r="I14" s="17">
        <f t="shared" si="0"/>
        <v>-22.119999999999997</v>
      </c>
      <c r="J14" s="5">
        <f>IFERROR($I14 / (INDEX(Dipendenti!$O:$O, MATCH($B14, Dipendenti!$A:$A, 0)) / 5), "")</f>
        <v>-3.072222222222222</v>
      </c>
    </row>
    <row r="15" spans="2:10" x14ac:dyDescent="0.25">
      <c r="B15" t="str">
        <f t="array" ref="B15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ROW(A8))), "")</f>
        <v>Martina Gallo</v>
      </c>
      <c r="C15" s="5">
        <f>IFERROR(VLOOKUP($B15,SaldiFerie!A:C,3,FALSE),"")</f>
        <v>30</v>
      </c>
      <c r="D15" s="36">
        <f>IF(B15="","",IF(INDEX(Dipendenti!H:H,MATCH(B15,Dipendenti!A:A,0))&lt;$D$2,
(MONTH($D$3)-MONTH($D$2))*2.83*(INDEX(Dipendenti!O:O,MATCH(B15,Dipendenti!A:A,0))/6),
IF(DAY(INDEX(Dipendenti!H:H,MATCH(B15,Dipendenti!A:A,0)))&lt;15,
(MONTH($D$3)-MONTH(INDEX(Dipendenti!H:H,MATCH(B15,Dipendenti!A:A,0))))*2.83*(INDEX(Dipendenti!O:O,MATCH(B15,Dipendenti!A:A,0))/6),
((MONTH($D$3)-MONTH(INDEX(Dipendenti!H:H,MATCH(B15,Dipendenti!A:A,0))))*2.83*(INDEX(Dipendenti!O:O,MATCH(B15,Dipendenti!A:A,0))/6)+
((_xlfn.DAYS(EOMONTH(INDEX(Dipendenti!H:H,MATCH(B15,Dipendenti!A:A,0)),0),
INDEX(Dipendenti!H:H,MATCH(B15,Dipendenti!A:A,0)))+1)/(_xlfn.DAYS(EOMONTH(INDEX(Dipendenti!H:H,MATCH(B15,Dipendenti!A:A,0)),0),
EOMONTH(INDEX(Dipendenti!H:H,MATCH(B15,Dipendenti!A:A,0)),-1)+1)+1)
)*2.83*(INDEX(Dipendenti!O:O,MATCH(B15,Dipendenti!A:A,0))/6)
)
)
))</f>
        <v>0</v>
      </c>
      <c r="E15" s="5">
        <f>IF($B15="","",COUNTIFS(ChiusureAziendali!$A:$A,"&gt;"&amp;$D$2,ChiusureAziendali!$A:$A,"&lt;="&amp;$D$3)*7.12)</f>
        <v>0</v>
      </c>
      <c r="F15" s="5">
        <f>IF($B15="","",SUMIFS(Registro_Ferie!$C:$C, Registro_Ferie!$A:$A,$B15, Registro_Ferie!$D:$D, "ferie_g", Registro_Ferie!$B:$B, "&gt;="&amp;$D$2, Registro_Ferie!$C:$C, "&lt;="&amp;$D$3) +
SUMIFS(Registro_Ferie!$C:$C, Registro_Ferie!$A:$A,$B15, Registro_Ferie!$D:$D, "ferie_g", Registro_Ferie!$B:$B, "&gt;="&amp;$D$2, Registro_Ferie!$B:$B, "&lt;="&amp;$D$3))</f>
        <v>76.55</v>
      </c>
      <c r="G15" s="5">
        <f>IFERROR($F15 / (INDEX(Dipendenti!$O:$O, MATCH($B15, Dipendenti!$A:$A, 0)) / 6), "")</f>
        <v>12.758333333333333</v>
      </c>
      <c r="H15" s="5">
        <f>IF($B15="","",SUMIFS(Registro_Ferie!$C:$C, Registro_Ferie!$A:$A,$B15, Registro_Ferie!$D:$D, "ferie", Registro_Ferie!$B:$B, "&gt;="&amp;$D$2, Registro_Ferie!$C:$C, "&lt;="&amp;$D$3) +
SUMIFS(Registro_Ferie!$C:$C, Registro_Ferie!$A:$A,$B15, Registro_Ferie!$D:$D, "ferie", Registro_Ferie!$B:$B, "&gt;="&amp;$D$2, Registro_Ferie!$B:$B, "&lt;="&amp;$D$3))</f>
        <v>0</v>
      </c>
      <c r="I15" s="17">
        <f t="shared" si="0"/>
        <v>-46.55</v>
      </c>
      <c r="J15" s="5">
        <f>IFERROR($I15 / (INDEX(Dipendenti!$O:$O, MATCH($B15, Dipendenti!$A:$A, 0)) / 5), "")</f>
        <v>-6.4652777777777768</v>
      </c>
    </row>
    <row r="16" spans="2:10" x14ac:dyDescent="0.25">
      <c r="B16" t="str">
        <f t="array" ref="B16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ROW(A9))), "")</f>
        <v>Matteo Sinner</v>
      </c>
      <c r="C16" s="5">
        <f>IFERROR(VLOOKUP($B16,SaldiFerie!A:C,3,FALSE),"")</f>
        <v>180</v>
      </c>
      <c r="D16" s="36">
        <f>IF(B16="","",IF(INDEX(Dipendenti!H:H,MATCH(B16,Dipendenti!A:A,0))&lt;$D$2,
(MONTH($D$3)-MONTH($D$2))*2.83*(INDEX(Dipendenti!O:O,MATCH(B16,Dipendenti!A:A,0))/6),
IF(DAY(INDEX(Dipendenti!H:H,MATCH(B16,Dipendenti!A:A,0)))&lt;15,
(MONTH($D$3)-MONTH(INDEX(Dipendenti!H:H,MATCH(B16,Dipendenti!A:A,0))))*2.83*(INDEX(Dipendenti!O:O,MATCH(B16,Dipendenti!A:A,0))/6),
((MONTH($D$3)-MONTH(INDEX(Dipendenti!H:H,MATCH(B16,Dipendenti!A:A,0))))*2.83*(INDEX(Dipendenti!O:O,MATCH(B16,Dipendenti!A:A,0))/6)+
((_xlfn.DAYS(EOMONTH(INDEX(Dipendenti!H:H,MATCH(B16,Dipendenti!A:A,0)),0),
INDEX(Dipendenti!H:H,MATCH(B16,Dipendenti!A:A,0)))+1)/(_xlfn.DAYS(EOMONTH(INDEX(Dipendenti!H:H,MATCH(B16,Dipendenti!A:A,0)),0),
EOMONTH(INDEX(Dipendenti!H:H,MATCH(B16,Dipendenti!A:A,0)),-1)+1)+1)
)*2.83*(INDEX(Dipendenti!O:O,MATCH(B16,Dipendenti!A:A,0))/6)
)
)
))</f>
        <v>0</v>
      </c>
      <c r="E16" s="5">
        <f>IF($B16="","",COUNTIFS(ChiusureAziendali!$A:$A,"&gt;"&amp;$D$2,ChiusureAziendali!$A:$A,"&lt;="&amp;$D$3)*7.12)</f>
        <v>0</v>
      </c>
      <c r="F16" s="5">
        <f>IF($B16="","",SUMIFS(Registro_Ferie!$C:$C, Registro_Ferie!$A:$A,$B16, Registro_Ferie!$D:$D, "ferie_g", Registro_Ferie!$B:$B, "&gt;="&amp;$D$2, Registro_Ferie!$C:$C, "&lt;="&amp;$D$3) +
SUMIFS(Registro_Ferie!$C:$C, Registro_Ferie!$A:$A,$B16, Registro_Ferie!$D:$D, "ferie_g", Registro_Ferie!$B:$B, "&gt;="&amp;$D$2, Registro_Ferie!$B:$B, "&lt;="&amp;$D$3))</f>
        <v>0</v>
      </c>
      <c r="G16" s="5">
        <f>IFERROR($F16 / (INDEX(Dipendenti!$O:$O, MATCH($B16, Dipendenti!$A:$A, 0)) / 6), "")</f>
        <v>0</v>
      </c>
      <c r="H16" s="5">
        <f>IF($B16="","",SUMIFS(Registro_Ferie!$C:$C, Registro_Ferie!$A:$A,$B16, Registro_Ferie!$D:$D, "ferie", Registro_Ferie!$B:$B, "&gt;="&amp;$D$2, Registro_Ferie!$C:$C, "&lt;="&amp;$D$3) +
SUMIFS(Registro_Ferie!$C:$C, Registro_Ferie!$A:$A,$B16, Registro_Ferie!$D:$D, "ferie", Registro_Ferie!$B:$B, "&gt;="&amp;$D$2, Registro_Ferie!$B:$B, "&lt;="&amp;$D$3))</f>
        <v>0</v>
      </c>
      <c r="I16" s="17">
        <f t="shared" si="0"/>
        <v>180</v>
      </c>
      <c r="J16" s="5">
        <f>IFERROR($I16 / (INDEX(Dipendenti!$O:$O, MATCH($B16, Dipendenti!$A:$A, 0)) / 5), "")</f>
        <v>25</v>
      </c>
    </row>
    <row r="17" spans="2:10" x14ac:dyDescent="0.25">
      <c r="B17" t="str">
        <f t="array" ref="B17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ROW(A10))), "")</f>
        <v>Sara Bruno</v>
      </c>
      <c r="C17" s="5">
        <f>IFERROR(VLOOKUP($B17,SaldiFerie!A:C,3,FALSE),"")</f>
        <v>18</v>
      </c>
      <c r="D17" s="36">
        <f>IF(B17="","",IF(INDEX(Dipendenti!H:H,MATCH(B17,Dipendenti!A:A,0))&lt;$D$2,
(MONTH($D$3)-MONTH($D$2))*2.83*(INDEX(Dipendenti!O:O,MATCH(B17,Dipendenti!A:A,0))/6),
IF(DAY(INDEX(Dipendenti!H:H,MATCH(B17,Dipendenti!A:A,0)))&lt;15,
(MONTH($D$3)-MONTH(INDEX(Dipendenti!H:H,MATCH(B17,Dipendenti!A:A,0))))*2.83*(INDEX(Dipendenti!O:O,MATCH(B17,Dipendenti!A:A,0))/6),
((MONTH($D$3)-MONTH(INDEX(Dipendenti!H:H,MATCH(B17,Dipendenti!A:A,0))))*2.83*(INDEX(Dipendenti!O:O,MATCH(B17,Dipendenti!A:A,0))/6)+
((_xlfn.DAYS(EOMONTH(INDEX(Dipendenti!H:H,MATCH(B17,Dipendenti!A:A,0)),0),
INDEX(Dipendenti!H:H,MATCH(B17,Dipendenti!A:A,0)))+1)/(_xlfn.DAYS(EOMONTH(INDEX(Dipendenti!H:H,MATCH(B17,Dipendenti!A:A,0)),0),
EOMONTH(INDEX(Dipendenti!H:H,MATCH(B17,Dipendenti!A:A,0)),-1)+1)+1)
)*2.83*(INDEX(Dipendenti!O:O,MATCH(B17,Dipendenti!A:A,0))/6)
)
)
))</f>
        <v>0</v>
      </c>
      <c r="E17" s="5">
        <f>IF($B17="","",COUNTIFS(ChiusureAziendali!$A:$A,"&gt;"&amp;$D$2,ChiusureAziendali!$A:$A,"&lt;="&amp;$D$3)*7.12)</f>
        <v>0</v>
      </c>
      <c r="F17" s="5">
        <f>IF($B17="","",SUMIFS(Registro_Ferie!$C:$C, Registro_Ferie!$A:$A,$B17, Registro_Ferie!$D:$D, "ferie_g", Registro_Ferie!$B:$B, "&gt;="&amp;$D$2, Registro_Ferie!$C:$C, "&lt;="&amp;$D$3) +
SUMIFS(Registro_Ferie!$C:$C, Registro_Ferie!$A:$A,$B17, Registro_Ferie!$D:$D, "ferie_g", Registro_Ferie!$B:$B, "&gt;="&amp;$D$2, Registro_Ferie!$B:$B, "&lt;="&amp;$D$3))</f>
        <v>63.59</v>
      </c>
      <c r="G17" s="5">
        <f>IFERROR($F17 / (INDEX(Dipendenti!$O:$O, MATCH($B17, Dipendenti!$A:$A, 0)) / 6), "")</f>
        <v>10.598333333333334</v>
      </c>
      <c r="H17" s="5">
        <f>IF($B17="","",SUMIFS(Registro_Ferie!$C:$C, Registro_Ferie!$A:$A,$B17, Registro_Ferie!$D:$D, "ferie", Registro_Ferie!$B:$B, "&gt;="&amp;$D$2, Registro_Ferie!$C:$C, "&lt;="&amp;$D$3) +
SUMIFS(Registro_Ferie!$C:$C, Registro_Ferie!$A:$A,$B17, Registro_Ferie!$D:$D, "ferie", Registro_Ferie!$B:$B, "&gt;="&amp;$D$2, Registro_Ferie!$B:$B, "&lt;="&amp;$D$3))</f>
        <v>0</v>
      </c>
      <c r="I17" s="17">
        <f t="shared" si="0"/>
        <v>-45.59</v>
      </c>
      <c r="J17" s="5">
        <f>IFERROR($I17 / (INDEX(Dipendenti!$O:$O, MATCH($B17, Dipendenti!$A:$A, 0)) / 5), "")</f>
        <v>-6.3319444444444448</v>
      </c>
    </row>
    <row r="18" spans="2:10" x14ac:dyDescent="0.25">
      <c r="B18" t="str">
        <f t="array" ref="B18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ROW(A11))), "")</f>
        <v>Simone Russo</v>
      </c>
      <c r="C18" s="5">
        <f>IFERROR(VLOOKUP($B18,SaldiFerie!A:C,3,FALSE),"")</f>
        <v>180</v>
      </c>
      <c r="D18" s="36">
        <f>IF(B18="","",IF(INDEX(Dipendenti!H:H,MATCH(B18,Dipendenti!A:A,0))&lt;$D$2,
(MONTH($D$3)-MONTH($D$2))*2.83*(INDEX(Dipendenti!O:O,MATCH(B18,Dipendenti!A:A,0))/6),
IF(DAY(INDEX(Dipendenti!H:H,MATCH(B18,Dipendenti!A:A,0)))&lt;15,
(MONTH($D$3)-MONTH(INDEX(Dipendenti!H:H,MATCH(B18,Dipendenti!A:A,0))))*2.83*(INDEX(Dipendenti!O:O,MATCH(B18,Dipendenti!A:A,0))/6),
((MONTH($D$3)-MONTH(INDEX(Dipendenti!H:H,MATCH(B18,Dipendenti!A:A,0))))*2.83*(INDEX(Dipendenti!O:O,MATCH(B18,Dipendenti!A:A,0))/6)+
((_xlfn.DAYS(EOMONTH(INDEX(Dipendenti!H:H,MATCH(B18,Dipendenti!A:A,0)),0),
INDEX(Dipendenti!H:H,MATCH(B18,Dipendenti!A:A,0)))+1)/(_xlfn.DAYS(EOMONTH(INDEX(Dipendenti!H:H,MATCH(B18,Dipendenti!A:A,0)),0),
EOMONTH(INDEX(Dipendenti!H:H,MATCH(B18,Dipendenti!A:A,0)),-1)+1)+1)
)*2.83*(INDEX(Dipendenti!O:O,MATCH(B18,Dipendenti!A:A,0))/6)
)
)
))</f>
        <v>0</v>
      </c>
      <c r="E18" s="5">
        <f>IF($B18="","",COUNTIFS(ChiusureAziendali!$A:$A,"&gt;"&amp;$D$2,ChiusureAziendali!$A:$A,"&lt;="&amp;$D$3)*7.12)</f>
        <v>0</v>
      </c>
      <c r="F18" s="5">
        <f>IF($B18="","",SUMIFS(Registro_Ferie!$C:$C, Registro_Ferie!$A:$A,$B18, Registro_Ferie!$D:$D, "ferie_g", Registro_Ferie!$B:$B, "&gt;="&amp;$D$2, Registro_Ferie!$C:$C, "&lt;="&amp;$D$3) +
SUMIFS(Registro_Ferie!$C:$C, Registro_Ferie!$A:$A,$B18, Registro_Ferie!$D:$D, "ferie_g", Registro_Ferie!$B:$B, "&gt;="&amp;$D$2, Registro_Ferie!$B:$B, "&lt;="&amp;$D$3))</f>
        <v>56.38</v>
      </c>
      <c r="G18" s="5">
        <f>IFERROR($F18 / (INDEX(Dipendenti!$O:$O, MATCH($B18, Dipendenti!$A:$A, 0)) / 6), "")</f>
        <v>9.3966666666666665</v>
      </c>
      <c r="H18" s="5">
        <f>IF($B18="","",SUMIFS(Registro_Ferie!$C:$C, Registro_Ferie!$A:$A,$B18, Registro_Ferie!$D:$D, "ferie", Registro_Ferie!$B:$B, "&gt;="&amp;$D$2, Registro_Ferie!$C:$C, "&lt;="&amp;$D$3) +
SUMIFS(Registro_Ferie!$C:$C, Registro_Ferie!$A:$A,$B18, Registro_Ferie!$D:$D, "ferie", Registro_Ferie!$B:$B, "&gt;="&amp;$D$2, Registro_Ferie!$B:$B, "&lt;="&amp;$D$3))</f>
        <v>0</v>
      </c>
      <c r="I18" s="17">
        <f t="shared" si="0"/>
        <v>123.62</v>
      </c>
      <c r="J18" s="5">
        <f>IFERROR($I18 / (INDEX(Dipendenti!$O:$O, MATCH($B18, Dipendenti!$A:$A, 0)) / 5), "")</f>
        <v>17.169444444444444</v>
      </c>
    </row>
    <row r="19" spans="2:10" x14ac:dyDescent="0.25">
      <c r="B19" t="str">
        <f t="array" ref="B19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ROW(A12))), "")</f>
        <v>Valentina Ferrari</v>
      </c>
      <c r="C19" s="5">
        <f>IFERROR(VLOOKUP($B19,SaldiFerie!A:C,3,FALSE),"")</f>
        <v>-30</v>
      </c>
      <c r="D19" s="36">
        <f>IF(B19="","",IF(INDEX(Dipendenti!H:H,MATCH(B19,Dipendenti!A:A,0))&lt;$D$2,
(MONTH($D$3)-MONTH($D$2))*2.83*(INDEX(Dipendenti!O:O,MATCH(B19,Dipendenti!A:A,0))/6),
IF(DAY(INDEX(Dipendenti!H:H,MATCH(B19,Dipendenti!A:A,0)))&lt;15,
(MONTH($D$3)-MONTH(INDEX(Dipendenti!H:H,MATCH(B19,Dipendenti!A:A,0))))*2.83*(INDEX(Dipendenti!O:O,MATCH(B19,Dipendenti!A:A,0))/6),
((MONTH($D$3)-MONTH(INDEX(Dipendenti!H:H,MATCH(B19,Dipendenti!A:A,0))))*2.83*(INDEX(Dipendenti!O:O,MATCH(B19,Dipendenti!A:A,0))/6)+
((_xlfn.DAYS(EOMONTH(INDEX(Dipendenti!H:H,MATCH(B19,Dipendenti!A:A,0)),0),
INDEX(Dipendenti!H:H,MATCH(B19,Dipendenti!A:A,0)))+1)/(_xlfn.DAYS(EOMONTH(INDEX(Dipendenti!H:H,MATCH(B19,Dipendenti!A:A,0)),0),
EOMONTH(INDEX(Dipendenti!H:H,MATCH(B19,Dipendenti!A:A,0)),-1)+1)+1)
)*2.83*(INDEX(Dipendenti!O:O,MATCH(B19,Dipendenti!A:A,0))/6)
)
)
))</f>
        <v>0</v>
      </c>
      <c r="E19" s="5">
        <f>IF($B19="","",COUNTIFS(ChiusureAziendali!$A:$A,"&gt;"&amp;$D$2,ChiusureAziendali!$A:$A,"&lt;="&amp;$D$3)*7.12)</f>
        <v>0</v>
      </c>
      <c r="F19" s="5">
        <f>IF($B19="","",SUMIFS(Registro_Ferie!$C:$C, Registro_Ferie!$A:$A,$B19, Registro_Ferie!$D:$D, "ferie_g", Registro_Ferie!$B:$B, "&gt;="&amp;$D$2, Registro_Ferie!$C:$C, "&lt;="&amp;$D$3) +
SUMIFS(Registro_Ferie!$C:$C, Registro_Ferie!$A:$A,$B19, Registro_Ferie!$D:$D, "ferie_g", Registro_Ferie!$B:$B, "&gt;="&amp;$D$2, Registro_Ferie!$B:$B, "&lt;="&amp;$D$3))</f>
        <v>100.44</v>
      </c>
      <c r="G19" s="5">
        <f>IFERROR($F19 / (INDEX(Dipendenti!$O:$O, MATCH($B19, Dipendenti!$A:$A, 0)) / 6), "")</f>
        <v>16.739999999999998</v>
      </c>
      <c r="H19" s="5">
        <f>IF($B19="","",SUMIFS(Registro_Ferie!$C:$C, Registro_Ferie!$A:$A,$B19, Registro_Ferie!$D:$D, "ferie", Registro_Ferie!$B:$B, "&gt;="&amp;$D$2, Registro_Ferie!$C:$C, "&lt;="&amp;$D$3) +
SUMIFS(Registro_Ferie!$C:$C, Registro_Ferie!$A:$A,$B19, Registro_Ferie!$D:$D, "ferie", Registro_Ferie!$B:$B, "&gt;="&amp;$D$2, Registro_Ferie!$B:$B, "&lt;="&amp;$D$3))</f>
        <v>0</v>
      </c>
      <c r="I19" s="17">
        <f t="shared" si="0"/>
        <v>-130.44</v>
      </c>
      <c r="J19" s="5">
        <f>IFERROR($I19 / (INDEX(Dipendenti!$O:$O, MATCH($B19, Dipendenti!$A:$A, 0)) / 5), "")</f>
        <v>-18.116666666666667</v>
      </c>
    </row>
    <row r="20" spans="2:10" x14ac:dyDescent="0.25">
      <c r="B20" t="str">
        <f t="array" ref="B20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ROW(A13))), "")</f>
        <v>Valentina Ricci</v>
      </c>
      <c r="C20" s="5">
        <f>IFERROR(VLOOKUP($B20,SaldiFerie!A:C,3,FALSE),"")</f>
        <v>84</v>
      </c>
      <c r="D20" s="36">
        <f>IF(B20="","",IF(INDEX(Dipendenti!H:H,MATCH(B20,Dipendenti!A:A,0))&lt;$D$2,
(MONTH($D$3)-MONTH($D$2))*2.83*(INDEX(Dipendenti!O:O,MATCH(B20,Dipendenti!A:A,0))/6),
IF(DAY(INDEX(Dipendenti!H:H,MATCH(B20,Dipendenti!A:A,0)))&lt;15,
(MONTH($D$3)-MONTH(INDEX(Dipendenti!H:H,MATCH(B20,Dipendenti!A:A,0))))*2.83*(INDEX(Dipendenti!O:O,MATCH(B20,Dipendenti!A:A,0))/6),
((MONTH($D$3)-MONTH(INDEX(Dipendenti!H:H,MATCH(B20,Dipendenti!A:A,0))))*2.83*(INDEX(Dipendenti!O:O,MATCH(B20,Dipendenti!A:A,0))/6)+
((_xlfn.DAYS(EOMONTH(INDEX(Dipendenti!H:H,MATCH(B20,Dipendenti!A:A,0)),0),
INDEX(Dipendenti!H:H,MATCH(B20,Dipendenti!A:A,0)))+1)/(_xlfn.DAYS(EOMONTH(INDEX(Dipendenti!H:H,MATCH(B20,Dipendenti!A:A,0)),0),
EOMONTH(INDEX(Dipendenti!H:H,MATCH(B20,Dipendenti!A:A,0)),-1)+1)+1)
)*2.83*(INDEX(Dipendenti!O:O,MATCH(B20,Dipendenti!A:A,0))/6)
)
)
))</f>
        <v>0</v>
      </c>
      <c r="E20" s="5">
        <f>IF($B20="","",COUNTIFS(ChiusureAziendali!$A:$A,"&gt;"&amp;$D$2,ChiusureAziendali!$A:$A,"&lt;="&amp;$D$3)*7.12)</f>
        <v>0</v>
      </c>
      <c r="F20" s="5">
        <f>IF($B20="","",SUMIFS(Registro_Ferie!$C:$C, Registro_Ferie!$A:$A,$B20, Registro_Ferie!$D:$D, "ferie_g", Registro_Ferie!$B:$B, "&gt;="&amp;$D$2, Registro_Ferie!$C:$C, "&lt;="&amp;$D$3) +
SUMIFS(Registro_Ferie!$C:$C, Registro_Ferie!$A:$A,$B20, Registro_Ferie!$D:$D, "ferie_g", Registro_Ferie!$B:$B, "&gt;="&amp;$D$2, Registro_Ferie!$B:$B, "&lt;="&amp;$D$3))</f>
        <v>305.27999999999992</v>
      </c>
      <c r="G20" s="5">
        <f>IFERROR($F20 / (INDEX(Dipendenti!$O:$O, MATCH($B20, Dipendenti!$A:$A, 0)) / 6), "")</f>
        <v>50.879999999999988</v>
      </c>
      <c r="H20" s="5">
        <f>IF($B20="","",SUMIFS(Registro_Ferie!$C:$C, Registro_Ferie!$A:$A,$B20, Registro_Ferie!$D:$D, "ferie", Registro_Ferie!$B:$B, "&gt;="&amp;$D$2, Registro_Ferie!$C:$C, "&lt;="&amp;$D$3) +
SUMIFS(Registro_Ferie!$C:$C, Registro_Ferie!$A:$A,$B20, Registro_Ferie!$D:$D, "ferie", Registro_Ferie!$B:$B, "&gt;="&amp;$D$2, Registro_Ferie!$B:$B, "&lt;="&amp;$D$3))</f>
        <v>0</v>
      </c>
      <c r="I20" s="17">
        <f t="shared" si="0"/>
        <v>-221.27999999999992</v>
      </c>
      <c r="J20" s="5">
        <f>IFERROR($I20 / (INDEX(Dipendenti!$O:$O, MATCH($B20, Dipendenti!$A:$A, 0)) / 5), "")</f>
        <v>-30.73333333333332</v>
      </c>
    </row>
    <row r="21" spans="2:10" x14ac:dyDescent="0.25">
      <c r="B21" t="str">
        <f t="array" ref="B21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ROW(A14))), "")</f>
        <v/>
      </c>
      <c r="C21" s="5" t="str">
        <f>IFERROR(VLOOKUP($B21,SaldiFerie!A:C,3,FALSE),"")</f>
        <v/>
      </c>
      <c r="D21" s="36" t="str">
        <f>IF(B21="","",IF(INDEX(Dipendenti!H:H,MATCH(B21,Dipendenti!A:A,0))&lt;$D$2,
(MONTH($D$3)-MONTH($D$2))*2.83*(INDEX(Dipendenti!O:O,MATCH(B21,Dipendenti!A:A,0))/6),
IF(DAY(INDEX(Dipendenti!H:H,MATCH(B21,Dipendenti!A:A,0)))&lt;15,
(MONTH($D$3)-MONTH(INDEX(Dipendenti!H:H,MATCH(B21,Dipendenti!A:A,0))))*2.83*(INDEX(Dipendenti!O:O,MATCH(B21,Dipendenti!A:A,0))/6),
((MONTH($D$3)-MONTH(INDEX(Dipendenti!H:H,MATCH(B21,Dipendenti!A:A,0))))*2.83*(INDEX(Dipendenti!O:O,MATCH(B21,Dipendenti!A:A,0))/6)+
((_xlfn.DAYS(EOMONTH(INDEX(Dipendenti!H:H,MATCH(B21,Dipendenti!A:A,0)),0),
INDEX(Dipendenti!H:H,MATCH(B21,Dipendenti!A:A,0)))+1)/(_xlfn.DAYS(EOMONTH(INDEX(Dipendenti!H:H,MATCH(B21,Dipendenti!A:A,0)),0),
EOMONTH(INDEX(Dipendenti!H:H,MATCH(B21,Dipendenti!A:A,0)),-1)+1)+1)
)*2.83*(INDEX(Dipendenti!O:O,MATCH(B21,Dipendenti!A:A,0))/6)
)
)
))</f>
        <v/>
      </c>
      <c r="E21" s="5" t="str">
        <f>IF($B21="","",COUNTIFS(ChiusureAziendali!$A:$A,"&gt;"&amp;$D$2,ChiusureAziendali!$A:$A,"&lt;="&amp;$D$3)*7.12)</f>
        <v/>
      </c>
      <c r="F21" s="5" t="str">
        <f>IF($B21="","",SUMIFS(Registro_Ferie!$C:$C, Registro_Ferie!$A:$A,$B21, Registro_Ferie!$D:$D, "ferie_g", Registro_Ferie!$B:$B, "&gt;="&amp;$D$2, Registro_Ferie!$C:$C, "&lt;="&amp;$D$3) +
SUMIFS(Registro_Ferie!$C:$C, Registro_Ferie!$A:$A,$B21, Registro_Ferie!$D:$D, "ferie_g", Registro_Ferie!$B:$B, "&gt;="&amp;$D$2, Registro_Ferie!$B:$B, "&lt;="&amp;$D$3))</f>
        <v/>
      </c>
      <c r="G21" s="5" t="str">
        <f>IFERROR($F21 / (INDEX(Dipendenti!$O:$O, MATCH($B21, Dipendenti!$A:$A, 0)) / 6), "")</f>
        <v/>
      </c>
      <c r="H21" s="5" t="str">
        <f>IF($B21="","",SUMIFS(Registro_Ferie!$C:$C, Registro_Ferie!$A:$A,$B21, Registro_Ferie!$D:$D, "ferie", Registro_Ferie!$B:$B, "&gt;="&amp;$D$2, Registro_Ferie!$C:$C, "&lt;="&amp;$D$3) +
SUMIFS(Registro_Ferie!$C:$C, Registro_Ferie!$A:$A,$B21, Registro_Ferie!$D:$D, "ferie", Registro_Ferie!$B:$B, "&gt;="&amp;$D$2, Registro_Ferie!$B:$B, "&lt;="&amp;$D$3))</f>
        <v/>
      </c>
      <c r="I21" s="17" t="str">
        <f t="shared" si="0"/>
        <v/>
      </c>
      <c r="J21" s="5" t="str">
        <f>IFERROR($I21 / (INDEX(Dipendenti!$O:$O, MATCH($B21, Dipendenti!$A:$A, 0)) / 5), "")</f>
        <v/>
      </c>
    </row>
    <row r="22" spans="2:10" x14ac:dyDescent="0.25">
      <c r="C22" s="5"/>
      <c r="D22" s="36"/>
      <c r="E22" s="5"/>
      <c r="F22" s="5"/>
      <c r="G22" s="5"/>
      <c r="H22" s="5"/>
      <c r="I22" s="17"/>
      <c r="J22" s="5"/>
    </row>
    <row r="23" spans="2:10" x14ac:dyDescent="0.25">
      <c r="C23" s="5"/>
      <c r="D23" s="36"/>
      <c r="E23" s="5"/>
      <c r="F23" s="5"/>
      <c r="G23" s="5"/>
      <c r="H23" s="5"/>
      <c r="I23" s="17"/>
      <c r="J23" s="5"/>
    </row>
    <row r="24" spans="2:10" x14ac:dyDescent="0.25">
      <c r="C24" s="5"/>
      <c r="D24" s="36"/>
      <c r="E24" s="5"/>
      <c r="F24" s="5"/>
      <c r="G24" s="5"/>
      <c r="H24" s="5"/>
      <c r="I24" s="17"/>
      <c r="J24" s="5"/>
    </row>
    <row r="25" spans="2:10" x14ac:dyDescent="0.25">
      <c r="C25" s="5"/>
      <c r="D25" s="36"/>
      <c r="E25" s="5"/>
      <c r="F25" s="5"/>
      <c r="G25" s="5"/>
      <c r="H25" s="5"/>
      <c r="I25" s="17"/>
      <c r="J25" s="5"/>
    </row>
    <row r="26" spans="2:10" x14ac:dyDescent="0.25">
      <c r="C26" s="5"/>
      <c r="D26" s="36"/>
      <c r="E26" s="5"/>
      <c r="F26" s="5"/>
      <c r="G26" s="5"/>
      <c r="H26" s="5"/>
      <c r="I26" s="17"/>
      <c r="J26" s="5"/>
    </row>
    <row r="27" spans="2:10" x14ac:dyDescent="0.25">
      <c r="C27" s="5"/>
      <c r="D27" s="36"/>
      <c r="E27" s="5"/>
      <c r="F27" s="5"/>
      <c r="G27" s="5"/>
      <c r="H27" s="5"/>
      <c r="I27" s="17"/>
      <c r="J27" s="5"/>
    </row>
    <row r="28" spans="2:10" x14ac:dyDescent="0.25">
      <c r="C28" s="5"/>
      <c r="D28" s="36"/>
      <c r="E28" s="5"/>
      <c r="F28" s="5"/>
      <c r="G28" s="5"/>
      <c r="H28" s="5"/>
      <c r="I28" s="17"/>
      <c r="J28" s="5"/>
    </row>
    <row r="29" spans="2:10" x14ac:dyDescent="0.25">
      <c r="C29" s="5"/>
      <c r="D29" s="36"/>
      <c r="E29" s="5"/>
      <c r="F29" s="5"/>
      <c r="G29" s="5"/>
      <c r="H29" s="5"/>
      <c r="I29" s="17"/>
      <c r="J29" s="5"/>
    </row>
    <row r="30" spans="2:10" x14ac:dyDescent="0.25">
      <c r="C30" s="5"/>
      <c r="D30" s="36"/>
      <c r="E30" s="5"/>
      <c r="F30" s="5"/>
      <c r="G30" s="5"/>
      <c r="H30" s="5"/>
      <c r="I30" s="17"/>
      <c r="J30" s="5"/>
    </row>
    <row r="31" spans="2:10" x14ac:dyDescent="0.25">
      <c r="C31" s="5"/>
      <c r="D31" s="36"/>
      <c r="E31" s="5"/>
      <c r="F31" s="5"/>
      <c r="G31" s="5"/>
      <c r="H31" s="5"/>
      <c r="I31" s="17"/>
      <c r="J31" s="5"/>
    </row>
    <row r="32" spans="2:10" x14ac:dyDescent="0.25">
      <c r="C32" s="5"/>
      <c r="D32" s="36"/>
      <c r="E32" s="5"/>
      <c r="F32" s="5"/>
      <c r="G32" s="5"/>
      <c r="H32" s="5"/>
      <c r="I32" s="17"/>
      <c r="J32" s="5"/>
    </row>
    <row r="33" spans="3:15" x14ac:dyDescent="0.25">
      <c r="C33" s="5"/>
      <c r="D33" s="36"/>
      <c r="E33" s="5"/>
      <c r="F33" s="5"/>
      <c r="G33" s="5"/>
      <c r="H33" s="5"/>
      <c r="I33" s="17"/>
      <c r="J33" s="5"/>
    </row>
    <row r="34" spans="3:15" x14ac:dyDescent="0.25">
      <c r="C34" s="5"/>
      <c r="D34" s="36"/>
      <c r="E34" s="5"/>
      <c r="F34" s="5"/>
      <c r="G34" s="5"/>
      <c r="H34" s="5"/>
      <c r="I34" s="17"/>
      <c r="J34" s="5"/>
    </row>
    <row r="35" spans="3:15" x14ac:dyDescent="0.25">
      <c r="C35" s="5"/>
      <c r="D35" s="36"/>
      <c r="E35" s="5"/>
      <c r="F35" s="5"/>
      <c r="G35" s="5"/>
      <c r="H35" s="5"/>
      <c r="I35" s="17"/>
      <c r="J35" s="5"/>
    </row>
    <row r="36" spans="3:15" x14ac:dyDescent="0.25">
      <c r="C36" s="5"/>
      <c r="D36" s="36"/>
      <c r="E36" s="5"/>
      <c r="F36" s="5"/>
      <c r="G36" s="5"/>
      <c r="H36" s="5"/>
      <c r="I36" s="17"/>
      <c r="J36" s="5"/>
    </row>
    <row r="37" spans="3:15" x14ac:dyDescent="0.25">
      <c r="C37" s="5"/>
      <c r="D37" s="36"/>
      <c r="E37" s="5"/>
      <c r="F37" s="5"/>
      <c r="G37" s="5"/>
      <c r="H37" s="5"/>
      <c r="I37" s="17"/>
      <c r="J37" s="5"/>
    </row>
    <row r="38" spans="3:15" x14ac:dyDescent="0.25">
      <c r="C38" s="5"/>
      <c r="D38" s="36"/>
      <c r="E38" s="5"/>
      <c r="F38" s="5"/>
      <c r="G38" s="5"/>
      <c r="H38" s="5"/>
      <c r="I38" s="17"/>
      <c r="J38" s="5"/>
    </row>
    <row r="39" spans="3:15" x14ac:dyDescent="0.25">
      <c r="C39" s="5"/>
      <c r="D39" s="36"/>
      <c r="E39" s="5"/>
      <c r="F39" s="5"/>
      <c r="G39" s="5"/>
      <c r="H39" s="5"/>
      <c r="I39" s="17"/>
      <c r="J39" s="5"/>
    </row>
    <row r="40" spans="3:15" x14ac:dyDescent="0.25">
      <c r="C40" s="5"/>
      <c r="D40" s="36"/>
      <c r="E40" s="5"/>
      <c r="F40" s="5"/>
      <c r="G40" s="5"/>
      <c r="H40" s="5"/>
      <c r="I40" s="17"/>
      <c r="J40" s="5"/>
    </row>
    <row r="41" spans="3:15" x14ac:dyDescent="0.25">
      <c r="C41" s="5"/>
      <c r="D41" s="36"/>
      <c r="E41" s="5"/>
      <c r="F41" s="5"/>
      <c r="G41" s="5"/>
      <c r="H41" s="5"/>
      <c r="I41" s="17"/>
      <c r="J41" s="5"/>
    </row>
    <row r="42" spans="3:15" x14ac:dyDescent="0.25">
      <c r="C42" s="5"/>
      <c r="D42" s="36"/>
      <c r="E42" s="5"/>
      <c r="F42" s="5"/>
      <c r="G42" s="5"/>
      <c r="H42" s="5"/>
      <c r="I42" s="17"/>
      <c r="J42" s="5"/>
      <c r="L42" s="1"/>
      <c r="N42" s="1"/>
      <c r="O42" s="1"/>
    </row>
    <row r="43" spans="3:15" x14ac:dyDescent="0.25">
      <c r="C43" s="5"/>
      <c r="D43" s="36"/>
      <c r="E43" s="5"/>
      <c r="F43" s="5"/>
      <c r="G43" s="5"/>
      <c r="H43" s="5"/>
      <c r="I43" s="17"/>
      <c r="J43" s="5"/>
      <c r="N43" s="34"/>
    </row>
    <row r="44" spans="3:15" x14ac:dyDescent="0.25">
      <c r="C44" s="5"/>
      <c r="D44" s="36"/>
      <c r="E44" s="5"/>
      <c r="F44" s="5"/>
      <c r="G44" s="5"/>
      <c r="H44" s="5"/>
      <c r="I44" s="17"/>
      <c r="J44" s="5"/>
    </row>
    <row r="45" spans="3:15" x14ac:dyDescent="0.25">
      <c r="C45" s="5"/>
      <c r="D45" s="36"/>
      <c r="E45" s="5"/>
      <c r="F45" s="5"/>
      <c r="G45" s="5"/>
      <c r="H45" s="5"/>
      <c r="I45" s="17"/>
      <c r="J45" s="5"/>
    </row>
    <row r="46" spans="3:15" x14ac:dyDescent="0.25">
      <c r="C46" s="5"/>
      <c r="D46" s="36"/>
      <c r="E46" s="5"/>
      <c r="F46" s="5"/>
      <c r="G46" s="5"/>
      <c r="H46" s="5"/>
      <c r="I46" s="17"/>
      <c r="J46" s="5"/>
    </row>
    <row r="47" spans="3:15" x14ac:dyDescent="0.25">
      <c r="C47" s="5"/>
      <c r="D47" s="36"/>
      <c r="E47" s="5"/>
      <c r="F47" s="5"/>
      <c r="G47" s="5"/>
      <c r="H47" s="5"/>
      <c r="I47" s="17"/>
      <c r="J47" s="5"/>
    </row>
    <row r="48" spans="3:15" x14ac:dyDescent="0.25">
      <c r="C48" s="5"/>
      <c r="D48" s="36"/>
      <c r="E48" s="5"/>
      <c r="F48" s="5"/>
      <c r="G48" s="5"/>
      <c r="H48" s="5"/>
      <c r="I48" s="17"/>
      <c r="J48" s="5"/>
    </row>
    <row r="49" spans="3:10" x14ac:dyDescent="0.25">
      <c r="C49" s="5"/>
      <c r="D49" s="36"/>
      <c r="E49" s="5"/>
      <c r="F49" s="5"/>
      <c r="G49" s="5"/>
      <c r="H49" s="5"/>
      <c r="I49" s="17"/>
      <c r="J49" s="5"/>
    </row>
    <row r="50" spans="3:10" x14ac:dyDescent="0.25">
      <c r="C50" s="5"/>
      <c r="D50" s="36"/>
      <c r="E50" s="5"/>
      <c r="F50" s="5"/>
      <c r="G50" s="5"/>
      <c r="H50" s="5"/>
      <c r="I50" s="17"/>
      <c r="J50" s="5"/>
    </row>
  </sheetData>
  <conditionalFormatting sqref="I8:J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{9243B541-9BF8-40AD-93A7-5FF40A309DFD}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43B541-9BF8-40AD-93A7-5FF40A309D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I8:J50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ELENCO!$A:$A</xm:f>
          </x14:formula1>
          <xm:sqref>D4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glio10"/>
  <dimension ref="B2:M50"/>
  <sheetViews>
    <sheetView zoomScale="90" zoomScaleNormal="90" workbookViewId="0">
      <selection activeCell="G29" sqref="G29"/>
    </sheetView>
  </sheetViews>
  <sheetFormatPr defaultRowHeight="15" outlineLevelRow="1" x14ac:dyDescent="0.25"/>
  <cols>
    <col min="1" max="1" width="5.5703125" customWidth="1"/>
    <col min="2" max="2" width="22.85546875" customWidth="1"/>
    <col min="3" max="3" width="14.42578125" customWidth="1"/>
    <col min="4" max="4" width="14.28515625" customWidth="1"/>
    <col min="5" max="5" width="10.42578125" bestFit="1" customWidth="1"/>
    <col min="6" max="6" width="15.7109375" customWidth="1"/>
    <col min="7" max="7" width="23.42578125" bestFit="1" customWidth="1"/>
    <col min="8" max="8" width="21.7109375" customWidth="1"/>
    <col min="10" max="10" width="17.7109375" bestFit="1" customWidth="1"/>
    <col min="11" max="11" width="19" bestFit="1" customWidth="1"/>
    <col min="12" max="12" width="18.28515625" bestFit="1" customWidth="1"/>
  </cols>
  <sheetData>
    <row r="2" spans="2:8" outlineLevel="1" x14ac:dyDescent="0.25">
      <c r="C2" s="11" t="s">
        <v>4</v>
      </c>
      <c r="D2" s="2">
        <v>45658</v>
      </c>
      <c r="F2" s="37" t="s">
        <v>51</v>
      </c>
      <c r="G2" s="38">
        <v>20.38</v>
      </c>
    </row>
    <row r="3" spans="2:8" outlineLevel="1" x14ac:dyDescent="0.25">
      <c r="C3" s="12" t="s">
        <v>5</v>
      </c>
      <c r="D3" s="2">
        <v>45689</v>
      </c>
    </row>
    <row r="4" spans="2:8" outlineLevel="1" x14ac:dyDescent="0.25">
      <c r="C4" s="10" t="s">
        <v>14</v>
      </c>
      <c r="D4" s="15" t="s">
        <v>25</v>
      </c>
    </row>
    <row r="6" spans="2:8" ht="15.75" x14ac:dyDescent="0.25">
      <c r="C6" s="69">
        <f>SUM(C8:C50)</f>
        <v>172.60000000000002</v>
      </c>
      <c r="D6" s="39">
        <f t="shared" ref="D6:F6" si="0">SUM(D8:D50)</f>
        <v>0</v>
      </c>
      <c r="E6" s="52">
        <f t="shared" si="0"/>
        <v>81.599999999999994</v>
      </c>
      <c r="F6" s="53">
        <f t="shared" si="0"/>
        <v>21.6</v>
      </c>
      <c r="G6" s="70">
        <f>SUM(G8:G50)</f>
        <v>275.79999999999995</v>
      </c>
      <c r="H6" s="40">
        <f>SUM(H8:H50)</f>
        <v>40.358888888888885</v>
      </c>
    </row>
    <row r="7" spans="2:8" s="58" customFormat="1" ht="44.25" customHeight="1" x14ac:dyDescent="0.25">
      <c r="C7" s="71" t="str">
        <f>"MALATTIE AL " &amp;TEXT($D$3,"gg/mm/aaaa")</f>
        <v>MALATTIE AL 01/02/2025</v>
      </c>
      <c r="D7" s="72" t="str">
        <f>"INFORTUNI AL " &amp;TEXT($D$3,"gg/mm/aaaa")</f>
        <v>INFORTUNI AL 01/02/2025</v>
      </c>
      <c r="E7" s="73" t="str">
        <f>"MATERNITA' AL "&amp;TEXT($D$3,"gg/mm/aaaa")</f>
        <v>MATERNITA' AL 01/02/2025</v>
      </c>
      <c r="F7" s="74" t="str">
        <f>"PERM_FORMAZIONE AL "&amp;TEXT($D$3,"gg/mm/aaaa")</f>
        <v>PERM_FORMAZIONE AL 01/02/2025</v>
      </c>
      <c r="G7" s="75" t="str">
        <f>"PROIEZIONE ASSENZE AL "&amp;TEXT($D$3,"GG/MM/AAAA")</f>
        <v>PROIEZIONE ASSENZE AL 01/02/2025</v>
      </c>
      <c r="H7" s="76" t="str">
        <f>"GG EQUIVALENTI AL "&amp;TEXT($D$3,"GG/MM/AAAA")</f>
        <v>GG EQUIVALENTI AL 01/02/2025</v>
      </c>
    </row>
    <row r="8" spans="2:8" x14ac:dyDescent="0.25">
      <c r="B8" t="str">
        <f t="array" ref="B8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ROW(A1))), "")</f>
        <v>Alessandro Esposito</v>
      </c>
      <c r="C8" s="5">
        <f>IF($B8="","",SUMIFS(Registro_assenze!$C:$C, Registro_assenze!$A:$A, $B8,Registro_assenze!$D:$D, "MAL",Registro_assenze!$B:$B, "&gt;="&amp;$D$2,
Registro_assenze!$B:$B, "&lt;="&amp;$D$3))</f>
        <v>13.2</v>
      </c>
      <c r="D8" s="5">
        <f>IF($B8="","",SUMIFS(Registro_assenze!$C:$C, Registro_assenze!$A:$A, $B8,Registro_assenze!$D:$D, "INF",Registro_assenze!$B:$B, "&gt;="&amp;$D$2,
Registro_assenze!$B:$B, "&lt;="&amp;$D$3))</f>
        <v>0</v>
      </c>
      <c r="E8" s="5">
        <f>IF($B8="","",
  SUMIFS(Registro_assenze!$C:$C, Registro_assenze!$A:$A, $B8, Registro_assenze!$D:$D, "MA1", Registro_assenze!$B:$B, "&gt;="&amp;$D$2, Registro_assenze!$B:$B, "&lt;="&amp;$D$3)
+ SUMIFS(Registro_assenze!$C:$C, Registro_assenze!$A:$A, $B8, Registro_assenze!$D:$D, "MA1ant", Registro_assenze!$B:$B, "&gt;="&amp;$D$2, Registro_assenze!$B:$B, "&lt;="&amp;$D$3)
)</f>
        <v>0</v>
      </c>
      <c r="F8" s="5">
        <f>IF($B8="","",SUMIFS(Registro_assenze!$C:$C, Registro_assenze!$A:$A, $B8,Registro_assenze!$D:$D, "PFORM",Registro_assenze!$B:$B, "&gt;="&amp;$D$2,
Registro_assenze!$B:$B, "&lt;="&amp;$D$3))</f>
        <v>0</v>
      </c>
      <c r="G8" s="17">
        <f>IFERROR(C8+D8+E8+F8,"")</f>
        <v>13.2</v>
      </c>
      <c r="H8" s="14">
        <f>IFERROR($G8 / (INDEX(Dipendenti!$O:$O, MATCH($B8, Dipendenti!$A:$A, 0)) / 5), "")</f>
        <v>2.6399999999999997</v>
      </c>
    </row>
    <row r="9" spans="2:8" x14ac:dyDescent="0.25">
      <c r="B9" t="str">
        <f t="array" ref="B9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ROW(A2))), "")</f>
        <v>Andrea Totti</v>
      </c>
      <c r="C9" s="5">
        <f>IF($B9="","",SUMIFS(Registro_assenze!$C:$C, Registro_assenze!$A:$A, $B9,Registro_assenze!$D:$D, "MAL",Registro_assenze!$B:$B, "&gt;="&amp;$D$2,
Registro_assenze!$B:$B, "&lt;="&amp;$D$3))</f>
        <v>7.2</v>
      </c>
      <c r="D9" s="5">
        <f>IF($B9="","",SUMIFS(Registro_assenze!$C:$C, Registro_assenze!$A:$A, $B9,Registro_assenze!$D:$D, "INF",Registro_assenze!$B:$B, "&gt;="&amp;$D$2,
Registro_assenze!$B:$B, "&lt;="&amp;$D$3))</f>
        <v>0</v>
      </c>
      <c r="E9" s="5">
        <f>IF($B9="","",
  SUMIFS(Registro_assenze!$C:$C, Registro_assenze!$A:$A, $B9, Registro_assenze!$D:$D, "MA1", Registro_assenze!$B:$B, "&gt;="&amp;$D$2, Registro_assenze!$B:$B, "&lt;="&amp;$D$3)
+ SUMIFS(Registro_assenze!$C:$C, Registro_assenze!$A:$A, $B9, Registro_assenze!$D:$D, "MA1ant", Registro_assenze!$B:$B, "&gt;="&amp;$D$2, Registro_assenze!$B:$B, "&lt;="&amp;$D$3)
)</f>
        <v>0</v>
      </c>
      <c r="F9" s="5">
        <f>IF($B9="","",SUMIFS(Registro_assenze!$C:$C, Registro_assenze!$A:$A, $B9,Registro_assenze!$D:$D, "PFORM",Registro_assenze!$B:$B, "&gt;="&amp;$D$2,
Registro_assenze!$B:$B, "&lt;="&amp;$D$3))</f>
        <v>7.2</v>
      </c>
      <c r="G9" s="17">
        <f t="shared" ref="G9:G21" si="1">IFERROR(C9+D9+E9+F9,"")</f>
        <v>14.4</v>
      </c>
      <c r="H9" s="14">
        <f>IFERROR($G9 / (INDEX(Dipendenti!$O:$O, MATCH($B9, Dipendenti!$A:$A, 0)) / 5), "")</f>
        <v>2.88</v>
      </c>
    </row>
    <row r="10" spans="2:8" x14ac:dyDescent="0.25">
      <c r="B10" t="str">
        <f t="array" ref="B10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ROW(A3))), "")</f>
        <v>Chiara Romano</v>
      </c>
      <c r="C10" s="5">
        <f>IF($B10="","",SUMIFS(Registro_assenze!$C:$C, Registro_assenze!$A:$A, $B10,Registro_assenze!$D:$D, "MAL",Registro_assenze!$B:$B, "&gt;="&amp;$D$2,
Registro_assenze!$B:$B, "&lt;="&amp;$D$3))</f>
        <v>13.2</v>
      </c>
      <c r="D10" s="5">
        <f>IF($B10="","",SUMIFS(Registro_assenze!$C:$C, Registro_assenze!$A:$A, $B10,Registro_assenze!$D:$D, "INF",Registro_assenze!$B:$B, "&gt;="&amp;$D$2,
Registro_assenze!$B:$B, "&lt;="&amp;$D$3))</f>
        <v>0</v>
      </c>
      <c r="E10" s="5">
        <f>IF($B10="","",
  SUMIFS(Registro_assenze!$C:$C, Registro_assenze!$A:$A, $B10, Registro_assenze!$D:$D, "MA1", Registro_assenze!$B:$B, "&gt;="&amp;$D$2, Registro_assenze!$B:$B, "&lt;="&amp;$D$3)
+ SUMIFS(Registro_assenze!$C:$C, Registro_assenze!$A:$A, $B10, Registro_assenze!$D:$D, "MA1ant", Registro_assenze!$B:$B, "&gt;="&amp;$D$2, Registro_assenze!$B:$B, "&lt;="&amp;$D$3)
)</f>
        <v>0</v>
      </c>
      <c r="F10" s="5">
        <f>IF($B10="","",SUMIFS(Registro_assenze!$C:$C, Registro_assenze!$A:$A, $B10,Registro_assenze!$D:$D, "PFORM",Registro_assenze!$B:$B, "&gt;="&amp;$D$2,
Registro_assenze!$B:$B, "&lt;="&amp;$D$3))</f>
        <v>0</v>
      </c>
      <c r="G10" s="17">
        <f t="shared" si="1"/>
        <v>13.2</v>
      </c>
      <c r="H10" s="14">
        <f>IFERROR($G10 / (INDEX(Dipendenti!$O:$O, MATCH($B10, Dipendenti!$A:$A, 0)) / 5), "")</f>
        <v>2.1999999999999997</v>
      </c>
    </row>
    <row r="11" spans="2:8" x14ac:dyDescent="0.25">
      <c r="B11" t="str">
        <f t="array" ref="B11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ROW(A4))), "")</f>
        <v>Elena Gallo</v>
      </c>
      <c r="C11" s="5">
        <f>IF($B11="","",SUMIFS(Registro_assenze!$C:$C, Registro_assenze!$A:$A, $B11,Registro_assenze!$D:$D, "MAL",Registro_assenze!$B:$B, "&gt;="&amp;$D$2,
Registro_assenze!$B:$B, "&lt;="&amp;$D$3))</f>
        <v>8</v>
      </c>
      <c r="D11" s="5">
        <f>IF($B11="","",SUMIFS(Registro_assenze!$C:$C, Registro_assenze!$A:$A, $B11,Registro_assenze!$D:$D, "INF",Registro_assenze!$B:$B, "&gt;="&amp;$D$2,
Registro_assenze!$B:$B, "&lt;="&amp;$D$3))</f>
        <v>0</v>
      </c>
      <c r="E11" s="5">
        <f>IF($B11="","",
  SUMIFS(Registro_assenze!$C:$C, Registro_assenze!$A:$A, $B11, Registro_assenze!$D:$D, "MA1", Registro_assenze!$B:$B, "&gt;="&amp;$D$2, Registro_assenze!$B:$B, "&lt;="&amp;$D$3)
+ SUMIFS(Registro_assenze!$C:$C, Registro_assenze!$A:$A, $B11, Registro_assenze!$D:$D, "MA1ant", Registro_assenze!$B:$B, "&gt;="&amp;$D$2, Registro_assenze!$B:$B, "&lt;="&amp;$D$3)
)</f>
        <v>12</v>
      </c>
      <c r="F11" s="5">
        <f>IF($B11="","",SUMIFS(Registro_assenze!$C:$C, Registro_assenze!$A:$A, $B11,Registro_assenze!$D:$D, "PFORM",Registro_assenze!$B:$B, "&gt;="&amp;$D$2,
Registro_assenze!$B:$B, "&lt;="&amp;$D$3))</f>
        <v>0</v>
      </c>
      <c r="G11" s="17">
        <f t="shared" si="1"/>
        <v>20</v>
      </c>
      <c r="H11" s="14">
        <f>IFERROR($G11 / (INDEX(Dipendenti!$O:$O, MATCH($B11, Dipendenti!$A:$A, 0)) / 5), "")</f>
        <v>2.7777777777777777</v>
      </c>
    </row>
    <row r="12" spans="2:8" x14ac:dyDescent="0.25">
      <c r="B12" t="str">
        <f t="array" ref="B12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ROW(A5))), "")</f>
        <v>Elena Romano</v>
      </c>
      <c r="C12" s="5">
        <f>IF($B12="","",SUMIFS(Registro_assenze!$C:$C, Registro_assenze!$A:$A, $B12,Registro_assenze!$D:$D, "MAL",Registro_assenze!$B:$B, "&gt;="&amp;$D$2,
Registro_assenze!$B:$B, "&lt;="&amp;$D$3))</f>
        <v>6</v>
      </c>
      <c r="D12" s="5">
        <f>IF($B12="","",SUMIFS(Registro_assenze!$C:$C, Registro_assenze!$A:$A, $B12,Registro_assenze!$D:$D, "INF",Registro_assenze!$B:$B, "&gt;="&amp;$D$2,
Registro_assenze!$B:$B, "&lt;="&amp;$D$3))</f>
        <v>0</v>
      </c>
      <c r="E12" s="5">
        <f>IF($B12="","",
  SUMIFS(Registro_assenze!$C:$C, Registro_assenze!$A:$A, $B12, Registro_assenze!$D:$D, "MA1", Registro_assenze!$B:$B, "&gt;="&amp;$D$2, Registro_assenze!$B:$B, "&lt;="&amp;$D$3)
+ SUMIFS(Registro_assenze!$C:$C, Registro_assenze!$A:$A, $B12, Registro_assenze!$D:$D, "MA1ant", Registro_assenze!$B:$B, "&gt;="&amp;$D$2, Registro_assenze!$B:$B, "&lt;="&amp;$D$3)
)</f>
        <v>6</v>
      </c>
      <c r="F12" s="5">
        <f>IF($B12="","",SUMIFS(Registro_assenze!$C:$C, Registro_assenze!$A:$A, $B12,Registro_assenze!$D:$D, "PFORM",Registro_assenze!$B:$B, "&gt;="&amp;$D$2,
Registro_assenze!$B:$B, "&lt;="&amp;$D$3))</f>
        <v>0</v>
      </c>
      <c r="G12" s="17">
        <f t="shared" si="1"/>
        <v>12</v>
      </c>
      <c r="H12" s="14">
        <f>IFERROR($G12 / (INDEX(Dipendenti!$O:$O, MATCH($B12, Dipendenti!$A:$A, 0)) / 5), "")</f>
        <v>1.6666666666666665</v>
      </c>
    </row>
    <row r="13" spans="2:8" x14ac:dyDescent="0.25">
      <c r="B13" t="str">
        <f t="array" ref="B13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ROW(A6))), "")</f>
        <v>Francesco Totti</v>
      </c>
      <c r="C13" s="5">
        <f>IF($B13="","",SUMIFS(Registro_assenze!$C:$C, Registro_assenze!$A:$A, $B13,Registro_assenze!$D:$D, "MAL",Registro_assenze!$B:$B, "&gt;="&amp;$D$2,
Registro_assenze!$B:$B, "&lt;="&amp;$D$3))</f>
        <v>0</v>
      </c>
      <c r="D13" s="5">
        <f>IF($B13="","",SUMIFS(Registro_assenze!$C:$C, Registro_assenze!$A:$A, $B13,Registro_assenze!$D:$D, "INF",Registro_assenze!$B:$B, "&gt;="&amp;$D$2,
Registro_assenze!$B:$B, "&lt;="&amp;$D$3))</f>
        <v>0</v>
      </c>
      <c r="E13" s="5">
        <f>IF($B13="","",
  SUMIFS(Registro_assenze!$C:$C, Registro_assenze!$A:$A, $B13, Registro_assenze!$D:$D, "MA1", Registro_assenze!$B:$B, "&gt;="&amp;$D$2, Registro_assenze!$B:$B, "&lt;="&amp;$D$3)
+ SUMIFS(Registro_assenze!$C:$C, Registro_assenze!$A:$A, $B13, Registro_assenze!$D:$D, "MA1ant", Registro_assenze!$B:$B, "&gt;="&amp;$D$2, Registro_assenze!$B:$B, "&lt;="&amp;$D$3)
)</f>
        <v>0</v>
      </c>
      <c r="F13" s="5">
        <f>IF($B13="","",SUMIFS(Registro_assenze!$C:$C, Registro_assenze!$A:$A, $B13,Registro_assenze!$D:$D, "PFORM",Registro_assenze!$B:$B, "&gt;="&amp;$D$2,
Registro_assenze!$B:$B, "&lt;="&amp;$D$3))</f>
        <v>7.2</v>
      </c>
      <c r="G13" s="17">
        <f t="shared" si="1"/>
        <v>7.2</v>
      </c>
      <c r="H13" s="14">
        <f>IFERROR($G13 / (INDEX(Dipendenti!$O:$O, MATCH($B13, Dipendenti!$A:$A, 0)) / 5), "")</f>
        <v>1</v>
      </c>
    </row>
    <row r="14" spans="2:8" x14ac:dyDescent="0.25">
      <c r="B14" t="str">
        <f t="array" ref="B14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ROW(A7))), "")</f>
        <v>Marco Mengoni</v>
      </c>
      <c r="C14" s="5">
        <f>IF($B14="","",SUMIFS(Registro_assenze!$C:$C, Registro_assenze!$A:$A, $B14,Registro_assenze!$D:$D, "MAL",Registro_assenze!$B:$B, "&gt;="&amp;$D$2,
Registro_assenze!$B:$B, "&lt;="&amp;$D$3))</f>
        <v>0</v>
      </c>
      <c r="D14" s="5">
        <f>IF($B14="","",SUMIFS(Registro_assenze!$C:$C, Registro_assenze!$A:$A, $B14,Registro_assenze!$D:$D, "INF",Registro_assenze!$B:$B, "&gt;="&amp;$D$2,
Registro_assenze!$B:$B, "&lt;="&amp;$D$3))</f>
        <v>0</v>
      </c>
      <c r="E14" s="5">
        <f>IF($B14="","",
  SUMIFS(Registro_assenze!$C:$C, Registro_assenze!$A:$A, $B14, Registro_assenze!$D:$D, "MA1", Registro_assenze!$B:$B, "&gt;="&amp;$D$2, Registro_assenze!$B:$B, "&lt;="&amp;$D$3)
+ SUMIFS(Registro_assenze!$C:$C, Registro_assenze!$A:$A, $B14, Registro_assenze!$D:$D, "MA1ant", Registro_assenze!$B:$B, "&gt;="&amp;$D$2, Registro_assenze!$B:$B, "&lt;="&amp;$D$3)
)</f>
        <v>0</v>
      </c>
      <c r="F14" s="5">
        <f>IF($B14="","",SUMIFS(Registro_assenze!$C:$C, Registro_assenze!$A:$A, $B14,Registro_assenze!$D:$D, "PFORM",Registro_assenze!$B:$B, "&gt;="&amp;$D$2,
Registro_assenze!$B:$B, "&lt;="&amp;$D$3))</f>
        <v>0</v>
      </c>
      <c r="G14" s="17">
        <f t="shared" si="1"/>
        <v>0</v>
      </c>
      <c r="H14" s="14">
        <f>IFERROR($G14 / (INDEX(Dipendenti!$O:$O, MATCH($B14, Dipendenti!$A:$A, 0)) / 5), "")</f>
        <v>0</v>
      </c>
    </row>
    <row r="15" spans="2:8" x14ac:dyDescent="0.25">
      <c r="B15" t="str">
        <f t="array" ref="B15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ROW(A8))), "")</f>
        <v>Martina Gallo</v>
      </c>
      <c r="C15" s="5">
        <f>IF($B15="","",SUMIFS(Registro_assenze!$C:$C, Registro_assenze!$A:$A, $B15,Registro_assenze!$D:$D, "MAL",Registro_assenze!$B:$B, "&gt;="&amp;$D$2,
Registro_assenze!$B:$B, "&lt;="&amp;$D$3))</f>
        <v>28.8</v>
      </c>
      <c r="D15" s="5">
        <f>IF($B15="","",SUMIFS(Registro_assenze!$C:$C, Registro_assenze!$A:$A, $B15,Registro_assenze!$D:$D, "INF",Registro_assenze!$B:$B, "&gt;="&amp;$D$2,
Registro_assenze!$B:$B, "&lt;="&amp;$D$3))</f>
        <v>0</v>
      </c>
      <c r="E15" s="5">
        <f>IF($B15="","",
  SUMIFS(Registro_assenze!$C:$C, Registro_assenze!$A:$A, $B15, Registro_assenze!$D:$D, "MA1", Registro_assenze!$B:$B, "&gt;="&amp;$D$2, Registro_assenze!$B:$B, "&lt;="&amp;$D$3)
+ SUMIFS(Registro_assenze!$C:$C, Registro_assenze!$A:$A, $B15, Registro_assenze!$D:$D, "MA1ant", Registro_assenze!$B:$B, "&gt;="&amp;$D$2, Registro_assenze!$B:$B, "&lt;="&amp;$D$3)
)</f>
        <v>32.4</v>
      </c>
      <c r="F15" s="5">
        <f>IF($B15="","",SUMIFS(Registro_assenze!$C:$C, Registro_assenze!$A:$A, $B15,Registro_assenze!$D:$D, "PFORM",Registro_assenze!$B:$B, "&gt;="&amp;$D$2,
Registro_assenze!$B:$B, "&lt;="&amp;$D$3))</f>
        <v>0</v>
      </c>
      <c r="G15" s="17">
        <f t="shared" si="1"/>
        <v>61.2</v>
      </c>
      <c r="H15" s="14">
        <f>IFERROR($G15 / (INDEX(Dipendenti!$O:$O, MATCH($B15, Dipendenti!$A:$A, 0)) / 5), "")</f>
        <v>8.5</v>
      </c>
    </row>
    <row r="16" spans="2:8" x14ac:dyDescent="0.25">
      <c r="B16" t="str">
        <f t="array" ref="B16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ROW(A9))), "")</f>
        <v>Matteo Sinner</v>
      </c>
      <c r="C16" s="5">
        <f>IF($B16="","",SUMIFS(Registro_assenze!$C:$C, Registro_assenze!$A:$A, $B16,Registro_assenze!$D:$D, "MAL",Registro_assenze!$B:$B, "&gt;="&amp;$D$2,
Registro_assenze!$B:$B, "&lt;="&amp;$D$3))</f>
        <v>7.2</v>
      </c>
      <c r="D16" s="5">
        <f>IF($B16="","",SUMIFS(Registro_assenze!$C:$C, Registro_assenze!$A:$A, $B16,Registro_assenze!$D:$D, "INF",Registro_assenze!$B:$B, "&gt;="&amp;$D$2,
Registro_assenze!$B:$B, "&lt;="&amp;$D$3))</f>
        <v>0</v>
      </c>
      <c r="E16" s="5">
        <f>IF($B16="","",
  SUMIFS(Registro_assenze!$C:$C, Registro_assenze!$A:$A, $B16, Registro_assenze!$D:$D, "MA1", Registro_assenze!$B:$B, "&gt;="&amp;$D$2, Registro_assenze!$B:$B, "&lt;="&amp;$D$3)
+ SUMIFS(Registro_assenze!$C:$C, Registro_assenze!$A:$A, $B16, Registro_assenze!$D:$D, "MA1ant", Registro_assenze!$B:$B, "&gt;="&amp;$D$2, Registro_assenze!$B:$B, "&lt;="&amp;$D$3)
)</f>
        <v>0</v>
      </c>
      <c r="F16" s="5">
        <f>IF($B16="","",SUMIFS(Registro_assenze!$C:$C, Registro_assenze!$A:$A, $B16,Registro_assenze!$D:$D, "PFORM",Registro_assenze!$B:$B, "&gt;="&amp;$D$2,
Registro_assenze!$B:$B, "&lt;="&amp;$D$3))</f>
        <v>0</v>
      </c>
      <c r="G16" s="17">
        <f t="shared" si="1"/>
        <v>7.2</v>
      </c>
      <c r="H16" s="14">
        <f>IFERROR($G16 / (INDEX(Dipendenti!$O:$O, MATCH($B16, Dipendenti!$A:$A, 0)) / 5), "")</f>
        <v>1</v>
      </c>
    </row>
    <row r="17" spans="2:8" x14ac:dyDescent="0.25">
      <c r="B17" t="str">
        <f t="array" ref="B17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ROW(A10))), "")</f>
        <v>Sara Bruno</v>
      </c>
      <c r="C17" s="5">
        <f>IF($B17="","",SUMIFS(Registro_assenze!$C:$C, Registro_assenze!$A:$A, $B17,Registro_assenze!$D:$D, "MAL",Registro_assenze!$B:$B, "&gt;="&amp;$D$2,
Registro_assenze!$B:$B, "&lt;="&amp;$D$3))</f>
        <v>14.4</v>
      </c>
      <c r="D17" s="5">
        <f>IF($B17="","",SUMIFS(Registro_assenze!$C:$C, Registro_assenze!$A:$A, $B17,Registro_assenze!$D:$D, "INF",Registro_assenze!$B:$B, "&gt;="&amp;$D$2,
Registro_assenze!$B:$B, "&lt;="&amp;$D$3))</f>
        <v>0</v>
      </c>
      <c r="E17" s="5">
        <f>IF($B17="","",
  SUMIFS(Registro_assenze!$C:$C, Registro_assenze!$A:$A, $B17, Registro_assenze!$D:$D, "MA1", Registro_assenze!$B:$B, "&gt;="&amp;$D$2, Registro_assenze!$B:$B, "&lt;="&amp;$D$3)
+ SUMIFS(Registro_assenze!$C:$C, Registro_assenze!$A:$A, $B17, Registro_assenze!$D:$D, "MA1ant", Registro_assenze!$B:$B, "&gt;="&amp;$D$2, Registro_assenze!$B:$B, "&lt;="&amp;$D$3)
)</f>
        <v>0</v>
      </c>
      <c r="F17" s="5">
        <f>IF($B17="","",SUMIFS(Registro_assenze!$C:$C, Registro_assenze!$A:$A, $B17,Registro_assenze!$D:$D, "PFORM",Registro_assenze!$B:$B, "&gt;="&amp;$D$2,
Registro_assenze!$B:$B, "&lt;="&amp;$D$3))</f>
        <v>7.2</v>
      </c>
      <c r="G17" s="17">
        <f t="shared" si="1"/>
        <v>21.6</v>
      </c>
      <c r="H17" s="14">
        <f>IFERROR($G17 / (INDEX(Dipendenti!$O:$O, MATCH($B17, Dipendenti!$A:$A, 0)) / 5), "")</f>
        <v>3</v>
      </c>
    </row>
    <row r="18" spans="2:8" x14ac:dyDescent="0.25">
      <c r="B18" t="str">
        <f t="array" ref="B18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ROW(A11))), "")</f>
        <v>Simone Russo</v>
      </c>
      <c r="C18" s="5">
        <f>IF($B18="","",SUMIFS(Registro_assenze!$C:$C, Registro_assenze!$A:$A, $B18,Registro_assenze!$D:$D, "MAL",Registro_assenze!$B:$B, "&gt;="&amp;$D$2,
Registro_assenze!$B:$B, "&lt;="&amp;$D$3))</f>
        <v>14.4</v>
      </c>
      <c r="D18" s="5">
        <f>IF($B18="","",SUMIFS(Registro_assenze!$C:$C, Registro_assenze!$A:$A, $B18,Registro_assenze!$D:$D, "INF",Registro_assenze!$B:$B, "&gt;="&amp;$D$2,
Registro_assenze!$B:$B, "&lt;="&amp;$D$3))</f>
        <v>0</v>
      </c>
      <c r="E18" s="5">
        <f>IF($B18="","",
  SUMIFS(Registro_assenze!$C:$C, Registro_assenze!$A:$A, $B18, Registro_assenze!$D:$D, "MA1", Registro_assenze!$B:$B, "&gt;="&amp;$D$2, Registro_assenze!$B:$B, "&lt;="&amp;$D$3)
+ SUMIFS(Registro_assenze!$C:$C, Registro_assenze!$A:$A, $B18, Registro_assenze!$D:$D, "MA1ant", Registro_assenze!$B:$B, "&gt;="&amp;$D$2, Registro_assenze!$B:$B, "&lt;="&amp;$D$3)
)</f>
        <v>0</v>
      </c>
      <c r="F18" s="5">
        <f>IF($B18="","",SUMIFS(Registro_assenze!$C:$C, Registro_assenze!$A:$A, $B18,Registro_assenze!$D:$D, "PFORM",Registro_assenze!$B:$B, "&gt;="&amp;$D$2,
Registro_assenze!$B:$B, "&lt;="&amp;$D$3))</f>
        <v>0</v>
      </c>
      <c r="G18" s="17">
        <f t="shared" si="1"/>
        <v>14.4</v>
      </c>
      <c r="H18" s="14">
        <f>IFERROR($G18 / (INDEX(Dipendenti!$O:$O, MATCH($B18, Dipendenti!$A:$A, 0)) / 5), "")</f>
        <v>2</v>
      </c>
    </row>
    <row r="19" spans="2:8" x14ac:dyDescent="0.25">
      <c r="B19" t="str">
        <f t="array" ref="B19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ROW(A12))), "")</f>
        <v>Valentina Ferrari</v>
      </c>
      <c r="C19" s="5">
        <f>IF($B19="","",SUMIFS(Registro_assenze!$C:$C, Registro_assenze!$A:$A, $B19,Registro_assenze!$D:$D, "MAL",Registro_assenze!$B:$B, "&gt;="&amp;$D$2,
Registro_assenze!$B:$B, "&lt;="&amp;$D$3))</f>
        <v>27.4</v>
      </c>
      <c r="D19" s="5">
        <f>IF($B19="","",SUMIFS(Registro_assenze!$C:$C, Registro_assenze!$A:$A, $B19,Registro_assenze!$D:$D, "INF",Registro_assenze!$B:$B, "&gt;="&amp;$D$2,
Registro_assenze!$B:$B, "&lt;="&amp;$D$3))</f>
        <v>0</v>
      </c>
      <c r="E19" s="5">
        <f>IF($B19="","",
  SUMIFS(Registro_assenze!$C:$C, Registro_assenze!$A:$A, $B19, Registro_assenze!$D:$D, "MA1", Registro_assenze!$B:$B, "&gt;="&amp;$D$2, Registro_assenze!$B:$B, "&lt;="&amp;$D$3)
+ SUMIFS(Registro_assenze!$C:$C, Registro_assenze!$A:$A, $B19, Registro_assenze!$D:$D, "MA1ant", Registro_assenze!$B:$B, "&gt;="&amp;$D$2, Registro_assenze!$B:$B, "&lt;="&amp;$D$3)
)</f>
        <v>6</v>
      </c>
      <c r="F19" s="5">
        <f>IF($B19="","",SUMIFS(Registro_assenze!$C:$C, Registro_assenze!$A:$A, $B19,Registro_assenze!$D:$D, "PFORM",Registro_assenze!$B:$B, "&gt;="&amp;$D$2,
Registro_assenze!$B:$B, "&lt;="&amp;$D$3))</f>
        <v>0</v>
      </c>
      <c r="G19" s="17">
        <f t="shared" si="1"/>
        <v>33.4</v>
      </c>
      <c r="H19" s="14">
        <f>IFERROR($G19 / (INDEX(Dipendenti!$O:$O, MATCH($B19, Dipendenti!$A:$A, 0)) / 5), "")</f>
        <v>4.6388888888888884</v>
      </c>
    </row>
    <row r="20" spans="2:8" x14ac:dyDescent="0.25">
      <c r="B20" t="str">
        <f t="array" ref="B20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ROW(A13))), "")</f>
        <v>Valentina Ricci</v>
      </c>
      <c r="C20" s="5">
        <f>IF($B20="","",SUMIFS(Registro_assenze!$C:$C, Registro_assenze!$A:$A, $B20,Registro_assenze!$D:$D, "MAL",Registro_assenze!$B:$B, "&gt;="&amp;$D$2,
Registro_assenze!$B:$B, "&lt;="&amp;$D$3))</f>
        <v>32.799999999999997</v>
      </c>
      <c r="D20" s="5">
        <f>IF($B20="","",SUMIFS(Registro_assenze!$C:$C, Registro_assenze!$A:$A, $B20,Registro_assenze!$D:$D, "INF",Registro_assenze!$B:$B, "&gt;="&amp;$D$2,
Registro_assenze!$B:$B, "&lt;="&amp;$D$3))</f>
        <v>0</v>
      </c>
      <c r="E20" s="5">
        <f>IF($B20="","",
  SUMIFS(Registro_assenze!$C:$C, Registro_assenze!$A:$A, $B20, Registro_assenze!$D:$D, "MA1", Registro_assenze!$B:$B, "&gt;="&amp;$D$2, Registro_assenze!$B:$B, "&lt;="&amp;$D$3)
+ SUMIFS(Registro_assenze!$C:$C, Registro_assenze!$A:$A, $B20, Registro_assenze!$D:$D, "MA1ant", Registro_assenze!$B:$B, "&gt;="&amp;$D$2, Registro_assenze!$B:$B, "&lt;="&amp;$D$3)
)</f>
        <v>25.2</v>
      </c>
      <c r="F20" s="5">
        <f>IF($B20="","",SUMIFS(Registro_assenze!$C:$C, Registro_assenze!$A:$A, $B20,Registro_assenze!$D:$D, "PFORM",Registro_assenze!$B:$B, "&gt;="&amp;$D$2,
Registro_assenze!$B:$B, "&lt;="&amp;$D$3))</f>
        <v>0</v>
      </c>
      <c r="G20" s="17">
        <f t="shared" si="1"/>
        <v>58</v>
      </c>
      <c r="H20" s="14">
        <f>IFERROR($G20 / (INDEX(Dipendenti!$O:$O, MATCH($B20, Dipendenti!$A:$A, 0)) / 5), "")</f>
        <v>8.0555555555555554</v>
      </c>
    </row>
    <row r="21" spans="2:8" x14ac:dyDescent="0.25">
      <c r="B21" t="str">
        <f t="array" ref="B21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ROW(A14))), "")</f>
        <v/>
      </c>
      <c r="C21" s="5" t="str">
        <f>IF($B21="","",SUMIFS(Registro_assenze!$C:$C, Registro_assenze!$A:$A, $B21,Registro_assenze!$D:$D, "MAL",Registro_assenze!$B:$B, "&gt;="&amp;$D$2,
Registro_assenze!$B:$B, "&lt;="&amp;$D$3))</f>
        <v/>
      </c>
      <c r="D21" s="5" t="str">
        <f>IF($B21="","",SUMIFS(Registro_assenze!$C:$C, Registro_assenze!$A:$A, $B21,Registro_assenze!$D:$D, "INF",Registro_assenze!$B:$B, "&gt;="&amp;$D$2,
Registro_assenze!$B:$B, "&lt;="&amp;$D$3))</f>
        <v/>
      </c>
      <c r="E21" s="5" t="str">
        <f>IF($B21="","",
  SUMIFS(Registro_assenze!$C:$C, Registro_assenze!$A:$A, $B21, Registro_assenze!$D:$D, "MA1", Registro_assenze!$B:$B, "&gt;="&amp;$D$2, Registro_assenze!$B:$B, "&lt;="&amp;$D$3)
+ SUMIFS(Registro_assenze!$C:$C, Registro_assenze!$A:$A, $B21, Registro_assenze!$D:$D, "MA1ant", Registro_assenze!$B:$B, "&gt;="&amp;$D$2, Registro_assenze!$B:$B, "&lt;="&amp;$D$3)
)</f>
        <v/>
      </c>
      <c r="F21" s="5" t="str">
        <f>IF($B21="","",SUMIFS(Registro_assenze!$C:$C, Registro_assenze!$A:$A, $B21,Registro_assenze!$D:$D, "PFORM",Registro_assenze!$B:$B, "&gt;="&amp;$D$2,
Registro_assenze!$B:$B, "&lt;="&amp;$D$3))</f>
        <v/>
      </c>
      <c r="G21" s="17" t="str">
        <f t="shared" si="1"/>
        <v/>
      </c>
      <c r="H21" s="14" t="str">
        <f>IFERROR($G21 / (INDEX(Dipendenti!$O:$O, MATCH($B21, Dipendenti!$A:$A, 0)) / 5), "")</f>
        <v/>
      </c>
    </row>
    <row r="22" spans="2:8" x14ac:dyDescent="0.25">
      <c r="B22" t="str">
        <f t="array" ref="B22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ROW(A15))), "")</f>
        <v/>
      </c>
      <c r="C22" s="5"/>
      <c r="D22" s="5"/>
      <c r="E22" s="5"/>
      <c r="F22" s="5"/>
      <c r="G22" s="17"/>
      <c r="H22" s="14"/>
    </row>
    <row r="23" spans="2:8" x14ac:dyDescent="0.25">
      <c r="B23" t="str">
        <f t="array" ref="B23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ROW(A16))), "")</f>
        <v/>
      </c>
      <c r="C23" s="5"/>
      <c r="D23" s="5"/>
      <c r="E23" s="5"/>
      <c r="F23" s="5"/>
      <c r="G23" s="17"/>
      <c r="H23" s="14"/>
    </row>
    <row r="24" spans="2:8" x14ac:dyDescent="0.25">
      <c r="B24" t="str">
        <f t="array" ref="B24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ROW(A17))), "")</f>
        <v/>
      </c>
      <c r="C24" s="5"/>
      <c r="D24" s="5"/>
      <c r="E24" s="5"/>
      <c r="F24" s="5"/>
      <c r="G24" s="17"/>
      <c r="H24" s="14"/>
    </row>
    <row r="25" spans="2:8" x14ac:dyDescent="0.25">
      <c r="B25" t="str">
        <f t="array" ref="B25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ROW(A18))), "")</f>
        <v/>
      </c>
      <c r="C25" s="5"/>
      <c r="D25" s="5"/>
      <c r="E25" s="5"/>
      <c r="F25" s="5"/>
      <c r="G25" s="17"/>
      <c r="H25" s="14"/>
    </row>
    <row r="26" spans="2:8" x14ac:dyDescent="0.25">
      <c r="B26" t="str">
        <f t="array" ref="B26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ROW(A19))), "")</f>
        <v/>
      </c>
      <c r="C26" s="5"/>
      <c r="D26" s="5"/>
      <c r="E26" s="5"/>
      <c r="F26" s="5"/>
      <c r="G26" s="17"/>
      <c r="H26" s="14"/>
    </row>
    <row r="27" spans="2:8" x14ac:dyDescent="0.25">
      <c r="B27" t="str">
        <f t="array" ref="B27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ROW(A20))), "")</f>
        <v/>
      </c>
      <c r="C27" s="5"/>
      <c r="D27" s="5"/>
      <c r="E27" s="5"/>
      <c r="F27" s="5"/>
      <c r="G27" s="17"/>
      <c r="H27" s="14"/>
    </row>
    <row r="28" spans="2:8" x14ac:dyDescent="0.25">
      <c r="B28" t="str">
        <f t="array" ref="B28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ROW(A21))), "")</f>
        <v/>
      </c>
      <c r="C28" s="5"/>
      <c r="D28" s="5"/>
      <c r="E28" s="5"/>
      <c r="F28" s="5"/>
      <c r="G28" s="17"/>
      <c r="H28" s="14"/>
    </row>
    <row r="29" spans="2:8" x14ac:dyDescent="0.25">
      <c r="B29" t="str">
        <f t="array" ref="B29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ROW(A22))), "")</f>
        <v/>
      </c>
      <c r="C29" s="5"/>
      <c r="D29" s="5"/>
      <c r="E29" s="5"/>
      <c r="F29" s="5"/>
      <c r="G29" s="17"/>
      <c r="H29" s="14"/>
    </row>
    <row r="30" spans="2:8" x14ac:dyDescent="0.25">
      <c r="B30" t="str">
        <f t="array" ref="B30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ROW(A23))), "")</f>
        <v/>
      </c>
      <c r="C30" s="5"/>
      <c r="D30" s="5"/>
      <c r="E30" s="5"/>
      <c r="F30" s="5"/>
      <c r="G30" s="17"/>
      <c r="H30" s="14"/>
    </row>
    <row r="31" spans="2:8" x14ac:dyDescent="0.25">
      <c r="C31" s="5"/>
      <c r="D31" s="5"/>
      <c r="E31" s="5"/>
      <c r="F31" s="5"/>
      <c r="G31" s="17"/>
      <c r="H31" s="14"/>
    </row>
    <row r="32" spans="2:8" x14ac:dyDescent="0.25">
      <c r="B32" t="str">
        <f t="array" ref="B32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ROW(A25))), "")</f>
        <v/>
      </c>
      <c r="C32" s="5"/>
      <c r="D32" s="5"/>
      <c r="E32" s="5"/>
      <c r="F32" s="5"/>
      <c r="G32" s="17"/>
      <c r="H32" s="14"/>
    </row>
    <row r="33" spans="2:13" x14ac:dyDescent="0.25">
      <c r="B33" t="str">
        <f t="array" ref="B33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ROW(A26))), "")</f>
        <v/>
      </c>
      <c r="C33" s="5"/>
      <c r="D33" s="5"/>
      <c r="E33" s="5"/>
      <c r="F33" s="5"/>
      <c r="G33" s="17"/>
      <c r="H33" s="14"/>
    </row>
    <row r="34" spans="2:13" x14ac:dyDescent="0.25">
      <c r="B34" t="str">
        <f t="array" ref="B34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ROW(A27))), "")</f>
        <v/>
      </c>
      <c r="C34" s="5"/>
      <c r="D34" s="5"/>
      <c r="E34" s="5"/>
      <c r="F34" s="5"/>
      <c r="G34" s="17"/>
      <c r="H34" s="14"/>
    </row>
    <row r="35" spans="2:13" x14ac:dyDescent="0.25">
      <c r="B35" t="str">
        <f t="array" ref="B35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ROW(A28))), "")</f>
        <v/>
      </c>
      <c r="C35" s="5"/>
      <c r="D35" s="5"/>
      <c r="E35" s="5"/>
      <c r="F35" s="5"/>
      <c r="G35" s="17"/>
      <c r="H35" s="14"/>
    </row>
    <row r="36" spans="2:13" x14ac:dyDescent="0.25">
      <c r="B36" t="str">
        <f t="array" ref="B36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ROW(A29))), "")</f>
        <v/>
      </c>
      <c r="C36" s="5"/>
      <c r="D36" s="5"/>
      <c r="E36" s="5"/>
      <c r="F36" s="5"/>
      <c r="G36" s="17"/>
      <c r="H36" s="14"/>
    </row>
    <row r="37" spans="2:13" x14ac:dyDescent="0.25">
      <c r="B37" t="str">
        <f t="array" ref="B37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ROW(A30))), "")</f>
        <v/>
      </c>
      <c r="C37" s="5"/>
      <c r="D37" s="5"/>
      <c r="E37" s="5"/>
      <c r="F37" s="5"/>
      <c r="G37" s="17"/>
      <c r="H37" s="14"/>
    </row>
    <row r="38" spans="2:13" x14ac:dyDescent="0.25">
      <c r="B38" t="str">
        <f t="array" ref="B38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ROW(A31))), "")</f>
        <v/>
      </c>
      <c r="C38" s="5"/>
      <c r="D38" s="5"/>
      <c r="E38" s="5"/>
      <c r="F38" s="5"/>
      <c r="G38" s="17"/>
      <c r="H38" s="14"/>
    </row>
    <row r="39" spans="2:13" x14ac:dyDescent="0.25">
      <c r="B39" t="str">
        <f t="array" ref="B39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ROW(A32))), "")</f>
        <v/>
      </c>
      <c r="C39" s="5"/>
      <c r="D39" s="5"/>
      <c r="E39" s="5"/>
      <c r="F39" s="5"/>
      <c r="G39" s="17"/>
      <c r="H39" s="14"/>
    </row>
    <row r="40" spans="2:13" x14ac:dyDescent="0.25">
      <c r="B40" t="str">
        <f t="array" ref="B40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ROW(A33))), "")</f>
        <v/>
      </c>
      <c r="C40" s="5"/>
      <c r="D40" s="5"/>
      <c r="E40" s="5"/>
      <c r="F40" s="5"/>
      <c r="G40" s="17"/>
      <c r="H40" s="14"/>
    </row>
    <row r="41" spans="2:13" x14ac:dyDescent="0.25">
      <c r="B41" t="str">
        <f t="array" ref="B41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ROW(A34))), "")</f>
        <v/>
      </c>
      <c r="C41" s="5"/>
      <c r="D41" s="5"/>
      <c r="E41" s="5"/>
      <c r="F41" s="5"/>
      <c r="G41" s="17"/>
      <c r="H41" s="14"/>
    </row>
    <row r="42" spans="2:13" x14ac:dyDescent="0.25">
      <c r="B42" t="str">
        <f t="array" ref="B42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ROW(A35))), "")</f>
        <v/>
      </c>
      <c r="C42" s="5"/>
      <c r="D42" s="5"/>
      <c r="E42" s="5"/>
      <c r="F42" s="5"/>
      <c r="G42" s="17"/>
      <c r="H42" s="14"/>
      <c r="J42" s="1"/>
      <c r="L42" s="1"/>
      <c r="M42" s="1"/>
    </row>
    <row r="43" spans="2:13" x14ac:dyDescent="0.25">
      <c r="B43" t="str">
        <f t="array" ref="B43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ROW(A36))), "")</f>
        <v/>
      </c>
      <c r="C43" s="5"/>
      <c r="D43" s="5"/>
      <c r="E43" s="5"/>
      <c r="F43" s="5"/>
      <c r="G43" s="17"/>
      <c r="H43" s="5"/>
      <c r="L43" s="34"/>
    </row>
    <row r="44" spans="2:13" x14ac:dyDescent="0.25">
      <c r="B44" t="str">
        <f t="array" ref="B44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ROW(A37))), "")</f>
        <v/>
      </c>
      <c r="C44" s="5"/>
      <c r="D44" s="5"/>
      <c r="E44" s="5"/>
      <c r="F44" s="5"/>
      <c r="G44" s="17"/>
      <c r="H44" s="5"/>
    </row>
    <row r="45" spans="2:13" x14ac:dyDescent="0.25">
      <c r="B45" t="str">
        <f t="array" ref="B45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ROW(A38))), "")</f>
        <v/>
      </c>
      <c r="C45" s="5"/>
      <c r="D45" s="5"/>
      <c r="E45" s="5"/>
      <c r="F45" s="5"/>
      <c r="G45" s="17"/>
      <c r="H45" s="5"/>
    </row>
    <row r="46" spans="2:13" x14ac:dyDescent="0.25">
      <c r="B46" t="str">
        <f t="array" ref="B46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ROW(A39))), "")</f>
        <v/>
      </c>
      <c r="C46" s="5"/>
      <c r="D46" s="5"/>
      <c r="E46" s="5"/>
      <c r="F46" s="5"/>
      <c r="G46" s="17"/>
      <c r="H46" s="5"/>
    </row>
    <row r="47" spans="2:13" x14ac:dyDescent="0.25">
      <c r="B47" t="str">
        <f t="array" ref="B47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ROW(A40))), "")</f>
        <v/>
      </c>
      <c r="C47" s="5"/>
      <c r="D47" s="5"/>
      <c r="E47" s="5"/>
      <c r="F47" s="5"/>
      <c r="G47" s="17"/>
      <c r="H47" s="5"/>
    </row>
    <row r="48" spans="2:13" x14ac:dyDescent="0.25">
      <c r="B48" t="str">
        <f t="array" ref="B48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ROW(A41))), "")</f>
        <v/>
      </c>
      <c r="C48" s="5"/>
      <c r="D48" s="5"/>
      <c r="E48" s="5"/>
      <c r="F48" s="5"/>
      <c r="G48" s="17"/>
      <c r="H48" s="5"/>
    </row>
    <row r="49" spans="2:8" x14ac:dyDescent="0.25">
      <c r="B49" t="str">
        <f t="array" ref="B49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ROW(A42))), "")</f>
        <v/>
      </c>
      <c r="C49" s="5"/>
      <c r="D49" s="5"/>
      <c r="E49" s="5"/>
      <c r="F49" s="5"/>
      <c r="G49" s="17"/>
      <c r="H49" s="5"/>
    </row>
    <row r="50" spans="2:8" x14ac:dyDescent="0.25">
      <c r="B50" t="str">
        <f t="array" ref="B50">IFERROR(INDEX(Dipendenti!A$2:A$548, SMALL(IF(
    (Dipendenti!G$2:G$548 = $D$4) *
    (Dipendenti!G$2:G$548 &lt;&gt; "") *
    (Dipendenti!L$2:L$548 &lt;&gt; "Lib Prof") *
    (IF(Dipendenti!J$2:J$548 = "", TRUE, Dipendenti!J$2:J$548 &gt;= $D$3)),
    ROW(Dipendenti!A$2:A$548) - ROW(Dipendenti!A$2) + 1),
    ROW(A43))), "")</f>
        <v/>
      </c>
      <c r="C50" s="5"/>
      <c r="D50" s="5"/>
      <c r="E50" s="5"/>
      <c r="F50" s="5"/>
      <c r="G50" s="17"/>
      <c r="H50" s="5"/>
    </row>
  </sheetData>
  <conditionalFormatting sqref="G8:H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{524E94AD-D637-4EB5-922E-2CAAA0015944}</x14:id>
        </ext>
      </extLst>
    </cfRule>
  </conditionalFormatting>
  <pageMargins left="0.7" right="0.7" top="0.75" bottom="0.75" header="0.3" footer="0.3"/>
  <pageSetup paperSize="9" orientation="landscape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E94AD-D637-4EB5-922E-2CAAA00159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G8:H50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ELENCO!$A:$A</xm:f>
          </x14:formula1>
          <xm:sqref>D4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glio3"/>
  <dimension ref="A1:G1676"/>
  <sheetViews>
    <sheetView workbookViewId="0">
      <selection activeCell="A2" sqref="A2"/>
    </sheetView>
  </sheetViews>
  <sheetFormatPr defaultRowHeight="15" x14ac:dyDescent="0.25"/>
  <cols>
    <col min="1" max="1" width="40.140625" bestFit="1" customWidth="1"/>
    <col min="2" max="4" width="15.7109375" customWidth="1"/>
  </cols>
  <sheetData>
    <row r="1" spans="1:7" x14ac:dyDescent="0.25">
      <c r="A1" t="s">
        <v>0</v>
      </c>
      <c r="B1" t="s">
        <v>7</v>
      </c>
      <c r="C1" t="s">
        <v>8</v>
      </c>
      <c r="D1" t="s">
        <v>9</v>
      </c>
      <c r="G1" s="1"/>
    </row>
    <row r="2" spans="1:7" x14ac:dyDescent="0.25">
      <c r="A2" t="s">
        <v>76</v>
      </c>
      <c r="B2" s="2">
        <v>45659</v>
      </c>
      <c r="C2" s="1">
        <v>7.2</v>
      </c>
      <c r="D2" t="s">
        <v>29</v>
      </c>
    </row>
    <row r="3" spans="1:7" x14ac:dyDescent="0.25">
      <c r="A3" t="s">
        <v>97</v>
      </c>
      <c r="B3" s="2">
        <v>45660</v>
      </c>
      <c r="C3" s="1">
        <v>7.2</v>
      </c>
      <c r="D3" t="s">
        <v>29</v>
      </c>
    </row>
    <row r="4" spans="1:7" x14ac:dyDescent="0.25">
      <c r="A4" t="s">
        <v>133</v>
      </c>
      <c r="B4" s="2">
        <v>45659</v>
      </c>
      <c r="C4" s="1">
        <v>7</v>
      </c>
      <c r="D4" t="s">
        <v>29</v>
      </c>
    </row>
    <row r="5" spans="1:7" x14ac:dyDescent="0.25">
      <c r="A5" t="s">
        <v>90</v>
      </c>
      <c r="B5" s="2">
        <v>45660</v>
      </c>
      <c r="C5" s="1">
        <v>7</v>
      </c>
      <c r="D5" t="s">
        <v>29</v>
      </c>
    </row>
    <row r="6" spans="1:7" x14ac:dyDescent="0.25">
      <c r="A6" t="s">
        <v>120</v>
      </c>
      <c r="B6" s="2">
        <v>45661</v>
      </c>
      <c r="C6" s="1">
        <v>6</v>
      </c>
      <c r="D6" t="s">
        <v>29</v>
      </c>
    </row>
    <row r="7" spans="1:7" x14ac:dyDescent="0.25">
      <c r="A7" t="s">
        <v>89</v>
      </c>
      <c r="B7" s="2">
        <v>45688</v>
      </c>
      <c r="C7" s="1">
        <v>1</v>
      </c>
      <c r="D7" t="s">
        <v>29</v>
      </c>
    </row>
    <row r="8" spans="1:7" x14ac:dyDescent="0.25">
      <c r="A8" t="s">
        <v>147</v>
      </c>
      <c r="B8" s="2">
        <v>45659</v>
      </c>
      <c r="C8" s="1">
        <v>6</v>
      </c>
      <c r="D8" t="s">
        <v>29</v>
      </c>
    </row>
    <row r="9" spans="1:7" x14ac:dyDescent="0.25">
      <c r="A9" t="s">
        <v>82</v>
      </c>
      <c r="B9" s="2">
        <v>45660</v>
      </c>
      <c r="C9" s="1">
        <v>6</v>
      </c>
      <c r="D9" t="s">
        <v>29</v>
      </c>
    </row>
    <row r="10" spans="1:7" x14ac:dyDescent="0.25">
      <c r="A10" t="s">
        <v>103</v>
      </c>
      <c r="B10" s="2">
        <v>45661</v>
      </c>
      <c r="C10" s="1">
        <v>6</v>
      </c>
      <c r="D10" t="s">
        <v>29</v>
      </c>
    </row>
    <row r="11" spans="1:7" x14ac:dyDescent="0.25">
      <c r="A11" t="s">
        <v>117</v>
      </c>
      <c r="B11" s="2">
        <v>45659</v>
      </c>
      <c r="C11" s="1">
        <v>6</v>
      </c>
      <c r="D11" t="s">
        <v>29</v>
      </c>
    </row>
    <row r="12" spans="1:7" x14ac:dyDescent="0.25">
      <c r="A12" t="s">
        <v>102</v>
      </c>
      <c r="B12" s="2">
        <v>45660</v>
      </c>
      <c r="C12" s="1">
        <v>6</v>
      </c>
      <c r="D12" t="s">
        <v>29</v>
      </c>
    </row>
    <row r="13" spans="1:7" x14ac:dyDescent="0.25">
      <c r="A13" t="s">
        <v>82</v>
      </c>
      <c r="B13" s="2">
        <v>45661</v>
      </c>
      <c r="C13" s="1">
        <v>6</v>
      </c>
      <c r="D13" t="s">
        <v>29</v>
      </c>
    </row>
    <row r="14" spans="1:7" x14ac:dyDescent="0.25">
      <c r="A14" t="s">
        <v>148</v>
      </c>
      <c r="B14" s="2">
        <v>45659</v>
      </c>
      <c r="C14" s="1">
        <v>6</v>
      </c>
      <c r="D14" t="s">
        <v>29</v>
      </c>
    </row>
    <row r="15" spans="1:7" x14ac:dyDescent="0.25">
      <c r="A15" t="s">
        <v>116</v>
      </c>
      <c r="B15" s="2">
        <v>45660</v>
      </c>
      <c r="C15" s="1">
        <v>6</v>
      </c>
      <c r="D15" t="s">
        <v>29</v>
      </c>
    </row>
    <row r="16" spans="1:7" x14ac:dyDescent="0.25">
      <c r="A16" t="s">
        <v>66</v>
      </c>
      <c r="B16" s="2">
        <v>45661</v>
      </c>
      <c r="C16" s="1">
        <v>6</v>
      </c>
      <c r="D16" t="s">
        <v>29</v>
      </c>
    </row>
    <row r="17" spans="1:4" x14ac:dyDescent="0.25">
      <c r="A17" t="s">
        <v>106</v>
      </c>
      <c r="B17" s="2">
        <v>45659</v>
      </c>
      <c r="C17" s="1">
        <v>6</v>
      </c>
      <c r="D17" t="s">
        <v>29</v>
      </c>
    </row>
    <row r="18" spans="1:4" x14ac:dyDescent="0.25">
      <c r="A18" t="s">
        <v>102</v>
      </c>
      <c r="B18" s="2">
        <v>45660</v>
      </c>
      <c r="C18" s="1">
        <v>6</v>
      </c>
      <c r="D18" t="s">
        <v>29</v>
      </c>
    </row>
    <row r="19" spans="1:4" x14ac:dyDescent="0.25">
      <c r="A19" t="s">
        <v>83</v>
      </c>
      <c r="B19" s="2">
        <v>45661</v>
      </c>
      <c r="C19" s="1">
        <v>6</v>
      </c>
      <c r="D19" t="s">
        <v>29</v>
      </c>
    </row>
    <row r="20" spans="1:4" x14ac:dyDescent="0.25">
      <c r="A20" t="s">
        <v>70</v>
      </c>
      <c r="B20" s="2">
        <v>45659</v>
      </c>
      <c r="C20" s="1">
        <v>4</v>
      </c>
      <c r="D20" t="s">
        <v>29</v>
      </c>
    </row>
    <row r="21" spans="1:4" x14ac:dyDescent="0.25">
      <c r="A21" t="s">
        <v>119</v>
      </c>
      <c r="B21" s="2">
        <v>45660</v>
      </c>
      <c r="C21" s="1">
        <v>4</v>
      </c>
      <c r="D21" t="s">
        <v>29</v>
      </c>
    </row>
    <row r="22" spans="1:4" x14ac:dyDescent="0.25">
      <c r="A22" t="s">
        <v>72</v>
      </c>
      <c r="B22" s="2">
        <v>45659</v>
      </c>
      <c r="C22" s="1">
        <v>7.2</v>
      </c>
      <c r="D22" t="s">
        <v>29</v>
      </c>
    </row>
    <row r="23" spans="1:4" x14ac:dyDescent="0.25">
      <c r="A23" t="s">
        <v>134</v>
      </c>
      <c r="B23" s="2">
        <v>45660</v>
      </c>
      <c r="C23" s="1">
        <v>1.77</v>
      </c>
      <c r="D23" t="s">
        <v>29</v>
      </c>
    </row>
    <row r="24" spans="1:4" x14ac:dyDescent="0.25">
      <c r="A24" t="s">
        <v>118</v>
      </c>
      <c r="B24" s="2">
        <v>45667</v>
      </c>
      <c r="C24" s="1">
        <v>0.48</v>
      </c>
      <c r="D24" t="s">
        <v>29</v>
      </c>
    </row>
    <row r="25" spans="1:4" x14ac:dyDescent="0.25">
      <c r="A25" t="s">
        <v>97</v>
      </c>
      <c r="B25" s="2">
        <v>45672</v>
      </c>
      <c r="C25" s="1">
        <v>0.98</v>
      </c>
      <c r="D25" t="s">
        <v>29</v>
      </c>
    </row>
    <row r="26" spans="1:4" x14ac:dyDescent="0.25">
      <c r="A26" t="s">
        <v>94</v>
      </c>
      <c r="B26" s="2">
        <v>45673</v>
      </c>
      <c r="C26" s="1">
        <v>7.2</v>
      </c>
      <c r="D26" t="s">
        <v>29</v>
      </c>
    </row>
    <row r="27" spans="1:4" x14ac:dyDescent="0.25">
      <c r="A27" t="s">
        <v>95</v>
      </c>
      <c r="B27" s="2">
        <v>45674</v>
      </c>
      <c r="C27" s="1">
        <v>7.2</v>
      </c>
      <c r="D27" t="s">
        <v>29</v>
      </c>
    </row>
    <row r="28" spans="1:4" x14ac:dyDescent="0.25">
      <c r="A28" t="s">
        <v>142</v>
      </c>
      <c r="B28" s="2">
        <v>45688</v>
      </c>
      <c r="C28" s="1">
        <v>1.3</v>
      </c>
      <c r="D28" t="s">
        <v>29</v>
      </c>
    </row>
    <row r="29" spans="1:4" x14ac:dyDescent="0.25">
      <c r="A29" t="s">
        <v>118</v>
      </c>
      <c r="B29" s="2">
        <v>45664</v>
      </c>
      <c r="C29" s="1">
        <v>6.4</v>
      </c>
      <c r="D29" t="s">
        <v>29</v>
      </c>
    </row>
    <row r="30" spans="1:4" x14ac:dyDescent="0.25">
      <c r="A30" t="s">
        <v>81</v>
      </c>
      <c r="B30" s="2">
        <v>45665</v>
      </c>
      <c r="C30" s="1">
        <v>6.4</v>
      </c>
      <c r="D30" t="s">
        <v>29</v>
      </c>
    </row>
    <row r="31" spans="1:4" x14ac:dyDescent="0.25">
      <c r="A31" t="s">
        <v>68</v>
      </c>
      <c r="B31" s="2">
        <v>45666</v>
      </c>
      <c r="C31" s="1">
        <v>6.4</v>
      </c>
      <c r="D31" t="s">
        <v>29</v>
      </c>
    </row>
    <row r="32" spans="1:4" x14ac:dyDescent="0.25">
      <c r="A32" t="s">
        <v>78</v>
      </c>
      <c r="B32" s="2">
        <v>45667</v>
      </c>
      <c r="C32" s="1">
        <v>6.4</v>
      </c>
      <c r="D32" t="s">
        <v>29</v>
      </c>
    </row>
    <row r="33" spans="1:4" x14ac:dyDescent="0.25">
      <c r="A33" t="s">
        <v>66</v>
      </c>
      <c r="B33" s="2">
        <v>45670</v>
      </c>
      <c r="C33" s="1">
        <v>6.4</v>
      </c>
      <c r="D33" t="s">
        <v>29</v>
      </c>
    </row>
    <row r="34" spans="1:4" x14ac:dyDescent="0.25">
      <c r="A34" t="s">
        <v>103</v>
      </c>
      <c r="B34" s="2">
        <v>45659</v>
      </c>
      <c r="C34" s="1">
        <v>6.32</v>
      </c>
      <c r="D34" t="s">
        <v>29</v>
      </c>
    </row>
    <row r="35" spans="1:4" x14ac:dyDescent="0.25">
      <c r="A35" t="s">
        <v>136</v>
      </c>
      <c r="B35" s="2">
        <v>45660</v>
      </c>
      <c r="C35" s="1">
        <v>6.32</v>
      </c>
      <c r="D35" t="s">
        <v>29</v>
      </c>
    </row>
    <row r="36" spans="1:4" x14ac:dyDescent="0.25">
      <c r="A36" t="s">
        <v>117</v>
      </c>
      <c r="B36" s="2">
        <v>45681</v>
      </c>
      <c r="C36" s="1">
        <v>0.28000000000000003</v>
      </c>
      <c r="D36" t="s">
        <v>29</v>
      </c>
    </row>
    <row r="37" spans="1:4" x14ac:dyDescent="0.25">
      <c r="A37" t="s">
        <v>72</v>
      </c>
      <c r="B37" s="2">
        <v>45659</v>
      </c>
      <c r="C37" s="1">
        <v>7.2</v>
      </c>
      <c r="D37" t="s">
        <v>29</v>
      </c>
    </row>
    <row r="38" spans="1:4" x14ac:dyDescent="0.25">
      <c r="A38" t="s">
        <v>133</v>
      </c>
      <c r="B38" s="2">
        <v>45660</v>
      </c>
      <c r="C38" s="1">
        <v>1.85</v>
      </c>
      <c r="D38" t="s">
        <v>29</v>
      </c>
    </row>
    <row r="39" spans="1:4" x14ac:dyDescent="0.25">
      <c r="A39" t="s">
        <v>127</v>
      </c>
      <c r="B39" s="2">
        <v>45664</v>
      </c>
      <c r="C39" s="1">
        <v>0.53</v>
      </c>
      <c r="D39" t="s">
        <v>29</v>
      </c>
    </row>
    <row r="40" spans="1:4" x14ac:dyDescent="0.25">
      <c r="A40" t="s">
        <v>128</v>
      </c>
      <c r="B40" s="2">
        <v>45665</v>
      </c>
      <c r="C40" s="1">
        <v>0.57999999999999996</v>
      </c>
      <c r="D40" t="s">
        <v>29</v>
      </c>
    </row>
    <row r="41" spans="1:4" x14ac:dyDescent="0.25">
      <c r="A41" t="s">
        <v>98</v>
      </c>
      <c r="B41" s="2">
        <v>45666</v>
      </c>
      <c r="C41" s="1">
        <v>0.6</v>
      </c>
      <c r="D41" t="s">
        <v>29</v>
      </c>
    </row>
    <row r="42" spans="1:4" x14ac:dyDescent="0.25">
      <c r="A42" t="s">
        <v>67</v>
      </c>
      <c r="B42" s="2">
        <v>45667</v>
      </c>
      <c r="C42" s="1">
        <v>0.68</v>
      </c>
      <c r="D42" t="s">
        <v>29</v>
      </c>
    </row>
    <row r="43" spans="1:4" x14ac:dyDescent="0.25">
      <c r="A43" t="s">
        <v>132</v>
      </c>
      <c r="B43" s="2">
        <v>45670</v>
      </c>
      <c r="C43" s="1">
        <v>0.62</v>
      </c>
      <c r="D43" t="s">
        <v>29</v>
      </c>
    </row>
    <row r="44" spans="1:4" x14ac:dyDescent="0.25">
      <c r="A44" t="s">
        <v>101</v>
      </c>
      <c r="B44" s="2">
        <v>45671</v>
      </c>
      <c r="C44" s="1">
        <v>0.55000000000000004</v>
      </c>
      <c r="D44" t="s">
        <v>29</v>
      </c>
    </row>
    <row r="45" spans="1:4" x14ac:dyDescent="0.25">
      <c r="A45" t="s">
        <v>99</v>
      </c>
      <c r="B45" s="2">
        <v>45677</v>
      </c>
      <c r="C45" s="1">
        <v>0.55000000000000004</v>
      </c>
      <c r="D45" t="s">
        <v>29</v>
      </c>
    </row>
    <row r="46" spans="1:4" x14ac:dyDescent="0.25">
      <c r="A46" t="s">
        <v>122</v>
      </c>
      <c r="B46" s="2">
        <v>45659</v>
      </c>
      <c r="C46" s="1">
        <v>7.2</v>
      </c>
      <c r="D46" t="s">
        <v>29</v>
      </c>
    </row>
    <row r="47" spans="1:4" x14ac:dyDescent="0.25">
      <c r="A47" t="s">
        <v>68</v>
      </c>
      <c r="B47" s="2">
        <v>45660</v>
      </c>
      <c r="C47" s="1">
        <v>7.2</v>
      </c>
      <c r="D47" t="s">
        <v>29</v>
      </c>
    </row>
    <row r="48" spans="1:4" x14ac:dyDescent="0.25">
      <c r="A48" t="s">
        <v>111</v>
      </c>
      <c r="B48" s="2">
        <v>45677</v>
      </c>
      <c r="C48" s="1">
        <v>7.2</v>
      </c>
      <c r="D48" t="s">
        <v>29</v>
      </c>
    </row>
    <row r="49" spans="1:4" x14ac:dyDescent="0.25">
      <c r="A49" t="s">
        <v>128</v>
      </c>
      <c r="B49" s="2">
        <v>45687</v>
      </c>
      <c r="C49" s="1">
        <v>7.2</v>
      </c>
      <c r="D49" t="s">
        <v>29</v>
      </c>
    </row>
    <row r="50" spans="1:4" x14ac:dyDescent="0.25">
      <c r="A50" t="s">
        <v>89</v>
      </c>
      <c r="B50" s="2">
        <v>45659</v>
      </c>
      <c r="C50" s="1">
        <v>7.2</v>
      </c>
      <c r="D50" t="s">
        <v>29</v>
      </c>
    </row>
    <row r="51" spans="1:4" x14ac:dyDescent="0.25">
      <c r="A51" t="s">
        <v>76</v>
      </c>
      <c r="B51" s="2">
        <v>45660</v>
      </c>
      <c r="C51" s="1">
        <v>7.2</v>
      </c>
      <c r="D51" t="s">
        <v>29</v>
      </c>
    </row>
    <row r="52" spans="1:4" x14ac:dyDescent="0.25">
      <c r="A52" t="s">
        <v>141</v>
      </c>
      <c r="B52" s="2">
        <v>45664</v>
      </c>
      <c r="C52" s="1">
        <v>7.2</v>
      </c>
      <c r="D52" t="s">
        <v>29</v>
      </c>
    </row>
    <row r="53" spans="1:4" x14ac:dyDescent="0.25">
      <c r="A53" t="s">
        <v>129</v>
      </c>
      <c r="B53" s="2">
        <v>45659</v>
      </c>
      <c r="C53" s="1">
        <v>7.2</v>
      </c>
      <c r="D53" t="s">
        <v>29</v>
      </c>
    </row>
    <row r="54" spans="1:4" x14ac:dyDescent="0.25">
      <c r="A54" t="s">
        <v>131</v>
      </c>
      <c r="B54" s="2">
        <v>45660</v>
      </c>
      <c r="C54" s="1">
        <v>7.2</v>
      </c>
      <c r="D54" t="s">
        <v>29</v>
      </c>
    </row>
    <row r="55" spans="1:4" x14ac:dyDescent="0.25">
      <c r="A55" t="s">
        <v>83</v>
      </c>
      <c r="B55" s="2">
        <v>45659</v>
      </c>
      <c r="C55" s="1">
        <v>7.6</v>
      </c>
      <c r="D55" t="s">
        <v>29</v>
      </c>
    </row>
    <row r="56" spans="1:4" x14ac:dyDescent="0.25">
      <c r="A56" t="s">
        <v>122</v>
      </c>
      <c r="B56" s="2">
        <v>45660</v>
      </c>
      <c r="C56" s="1">
        <v>7.6</v>
      </c>
      <c r="D56" t="s">
        <v>29</v>
      </c>
    </row>
    <row r="57" spans="1:4" x14ac:dyDescent="0.25">
      <c r="A57" t="s">
        <v>141</v>
      </c>
      <c r="B57" s="2">
        <v>45672</v>
      </c>
      <c r="C57" s="1">
        <v>7.6</v>
      </c>
      <c r="D57" t="s">
        <v>29</v>
      </c>
    </row>
    <row r="58" spans="1:4" x14ac:dyDescent="0.25">
      <c r="A58" t="s">
        <v>90</v>
      </c>
      <c r="B58" s="2">
        <v>45659</v>
      </c>
      <c r="C58" s="1">
        <v>7.2</v>
      </c>
      <c r="D58" t="s">
        <v>29</v>
      </c>
    </row>
    <row r="59" spans="1:4" x14ac:dyDescent="0.25">
      <c r="A59" t="s">
        <v>68</v>
      </c>
      <c r="B59" s="2">
        <v>45660</v>
      </c>
      <c r="C59" s="1">
        <v>7.2</v>
      </c>
      <c r="D59" t="s">
        <v>29</v>
      </c>
    </row>
    <row r="60" spans="1:4" x14ac:dyDescent="0.25">
      <c r="A60" t="s">
        <v>88</v>
      </c>
      <c r="B60" s="2">
        <v>45686</v>
      </c>
      <c r="C60" s="1">
        <v>7.2</v>
      </c>
      <c r="D60" t="s">
        <v>29</v>
      </c>
    </row>
    <row r="61" spans="1:4" x14ac:dyDescent="0.25">
      <c r="A61" t="s">
        <v>113</v>
      </c>
      <c r="B61" s="2">
        <v>45659</v>
      </c>
      <c r="C61" s="1">
        <v>7.2</v>
      </c>
      <c r="D61" t="s">
        <v>29</v>
      </c>
    </row>
    <row r="62" spans="1:4" x14ac:dyDescent="0.25">
      <c r="A62" t="s">
        <v>65</v>
      </c>
      <c r="B62" s="2">
        <v>45660</v>
      </c>
      <c r="C62" s="1">
        <v>7.2</v>
      </c>
      <c r="D62" t="s">
        <v>29</v>
      </c>
    </row>
    <row r="63" spans="1:4" x14ac:dyDescent="0.25">
      <c r="A63" t="s">
        <v>133</v>
      </c>
      <c r="B63" s="2">
        <v>45659</v>
      </c>
      <c r="C63" s="1">
        <v>7.2</v>
      </c>
      <c r="D63" t="s">
        <v>29</v>
      </c>
    </row>
    <row r="64" spans="1:4" x14ac:dyDescent="0.25">
      <c r="A64" t="s">
        <v>68</v>
      </c>
      <c r="B64" s="2">
        <v>45660</v>
      </c>
      <c r="C64" s="1">
        <v>7.2</v>
      </c>
      <c r="D64" t="s">
        <v>29</v>
      </c>
    </row>
    <row r="65" spans="1:4" x14ac:dyDescent="0.25">
      <c r="A65" t="s">
        <v>146</v>
      </c>
      <c r="B65" s="2">
        <v>45659</v>
      </c>
      <c r="C65" s="1">
        <v>7.2</v>
      </c>
      <c r="D65" t="s">
        <v>29</v>
      </c>
    </row>
    <row r="66" spans="1:4" x14ac:dyDescent="0.25">
      <c r="A66" t="s">
        <v>129</v>
      </c>
      <c r="B66" s="2">
        <v>45660</v>
      </c>
      <c r="C66" s="1">
        <v>7.2</v>
      </c>
      <c r="D66" t="s">
        <v>29</v>
      </c>
    </row>
    <row r="67" spans="1:4" x14ac:dyDescent="0.25">
      <c r="A67" t="s">
        <v>137</v>
      </c>
      <c r="B67" s="2">
        <v>45659</v>
      </c>
      <c r="C67" s="1">
        <v>7.2</v>
      </c>
      <c r="D67" t="s">
        <v>29</v>
      </c>
    </row>
    <row r="68" spans="1:4" x14ac:dyDescent="0.25">
      <c r="A68" t="s">
        <v>103</v>
      </c>
      <c r="B68" s="2">
        <v>45660</v>
      </c>
      <c r="C68" s="1">
        <v>7.2</v>
      </c>
      <c r="D68" t="s">
        <v>29</v>
      </c>
    </row>
    <row r="69" spans="1:4" x14ac:dyDescent="0.25">
      <c r="A69" t="s">
        <v>100</v>
      </c>
      <c r="B69" s="2">
        <v>45688</v>
      </c>
      <c r="C69" s="1">
        <v>7.2</v>
      </c>
      <c r="D69" t="s">
        <v>29</v>
      </c>
    </row>
    <row r="70" spans="1:4" x14ac:dyDescent="0.25">
      <c r="A70" t="s">
        <v>112</v>
      </c>
      <c r="B70" s="2">
        <v>45684</v>
      </c>
      <c r="C70" s="1">
        <v>7.2</v>
      </c>
      <c r="D70" t="s">
        <v>29</v>
      </c>
    </row>
    <row r="71" spans="1:4" x14ac:dyDescent="0.25">
      <c r="A71" t="s">
        <v>106</v>
      </c>
      <c r="B71" s="2">
        <v>45670</v>
      </c>
      <c r="C71" s="1">
        <v>1.7</v>
      </c>
      <c r="D71" t="s">
        <v>29</v>
      </c>
    </row>
    <row r="72" spans="1:4" x14ac:dyDescent="0.25">
      <c r="A72" t="s">
        <v>79</v>
      </c>
      <c r="B72" s="2">
        <v>45671</v>
      </c>
      <c r="C72" s="1">
        <v>1.62</v>
      </c>
      <c r="D72" t="s">
        <v>29</v>
      </c>
    </row>
    <row r="73" spans="1:4" x14ac:dyDescent="0.25">
      <c r="A73" t="s">
        <v>109</v>
      </c>
      <c r="B73" s="2">
        <v>45664</v>
      </c>
      <c r="C73" s="1">
        <v>6</v>
      </c>
      <c r="D73" t="s">
        <v>29</v>
      </c>
    </row>
    <row r="74" spans="1:4" x14ac:dyDescent="0.25">
      <c r="A74" t="s">
        <v>97</v>
      </c>
      <c r="B74" s="2">
        <v>45684</v>
      </c>
      <c r="C74" s="1">
        <v>6</v>
      </c>
      <c r="D74" t="s">
        <v>29</v>
      </c>
    </row>
    <row r="75" spans="1:4" x14ac:dyDescent="0.25">
      <c r="A75" t="s">
        <v>76</v>
      </c>
      <c r="B75" s="2">
        <v>45685</v>
      </c>
      <c r="C75" s="1">
        <v>6</v>
      </c>
      <c r="D75" t="s">
        <v>29</v>
      </c>
    </row>
    <row r="76" spans="1:4" x14ac:dyDescent="0.25">
      <c r="A76" t="s">
        <v>94</v>
      </c>
      <c r="B76" s="2">
        <v>45686</v>
      </c>
      <c r="C76" s="1">
        <v>6</v>
      </c>
      <c r="D76" t="s">
        <v>29</v>
      </c>
    </row>
    <row r="77" spans="1:4" x14ac:dyDescent="0.25">
      <c r="A77" t="s">
        <v>99</v>
      </c>
      <c r="B77" s="2">
        <v>45687</v>
      </c>
      <c r="C77" s="1">
        <v>6</v>
      </c>
      <c r="D77" t="s">
        <v>29</v>
      </c>
    </row>
    <row r="78" spans="1:4" x14ac:dyDescent="0.25">
      <c r="A78" t="s">
        <v>80</v>
      </c>
      <c r="B78" s="2">
        <v>45688</v>
      </c>
      <c r="C78" s="1">
        <v>6</v>
      </c>
      <c r="D78" t="s">
        <v>29</v>
      </c>
    </row>
    <row r="79" spans="1:4" x14ac:dyDescent="0.25">
      <c r="A79" t="s">
        <v>83</v>
      </c>
      <c r="B79" s="2">
        <v>45659</v>
      </c>
      <c r="C79" s="1">
        <v>5</v>
      </c>
      <c r="D79" t="s">
        <v>29</v>
      </c>
    </row>
    <row r="80" spans="1:4" x14ac:dyDescent="0.25">
      <c r="A80" t="s">
        <v>68</v>
      </c>
      <c r="B80" s="2">
        <v>45660</v>
      </c>
      <c r="C80" s="1">
        <v>6</v>
      </c>
      <c r="D80" t="s">
        <v>29</v>
      </c>
    </row>
    <row r="81" spans="1:4" x14ac:dyDescent="0.25">
      <c r="A81" t="s">
        <v>149</v>
      </c>
      <c r="B81" s="2">
        <v>45659</v>
      </c>
      <c r="C81" s="1">
        <v>7.2</v>
      </c>
      <c r="D81" t="s">
        <v>29</v>
      </c>
    </row>
    <row r="82" spans="1:4" x14ac:dyDescent="0.25">
      <c r="A82" t="s">
        <v>83</v>
      </c>
      <c r="B82" s="2">
        <v>45660</v>
      </c>
      <c r="C82" s="1">
        <v>7.2</v>
      </c>
      <c r="D82" t="s">
        <v>29</v>
      </c>
    </row>
    <row r="83" spans="1:4" x14ac:dyDescent="0.25">
      <c r="A83" t="s">
        <v>96</v>
      </c>
      <c r="B83" s="2">
        <v>45671</v>
      </c>
      <c r="C83" s="1">
        <v>7.2</v>
      </c>
      <c r="D83" t="s">
        <v>29</v>
      </c>
    </row>
    <row r="84" spans="1:4" x14ac:dyDescent="0.25">
      <c r="A84" t="s">
        <v>145</v>
      </c>
      <c r="B84" s="2">
        <v>45678</v>
      </c>
      <c r="C84" s="1">
        <v>7.2</v>
      </c>
      <c r="D84" t="s">
        <v>29</v>
      </c>
    </row>
    <row r="85" spans="1:4" x14ac:dyDescent="0.25">
      <c r="A85" t="s">
        <v>95</v>
      </c>
      <c r="B85" s="2">
        <v>45679</v>
      </c>
      <c r="C85" s="1">
        <v>7.2</v>
      </c>
      <c r="D85" t="s">
        <v>29</v>
      </c>
    </row>
    <row r="86" spans="1:4" x14ac:dyDescent="0.25">
      <c r="A86" t="s">
        <v>98</v>
      </c>
      <c r="B86" s="2">
        <v>45680</v>
      </c>
      <c r="C86" s="1">
        <v>7.2</v>
      </c>
      <c r="D86" t="s">
        <v>29</v>
      </c>
    </row>
    <row r="87" spans="1:4" x14ac:dyDescent="0.25">
      <c r="A87" t="s">
        <v>116</v>
      </c>
      <c r="B87" s="2">
        <v>45681</v>
      </c>
      <c r="C87" s="1">
        <v>7.2</v>
      </c>
      <c r="D87" t="s">
        <v>29</v>
      </c>
    </row>
    <row r="88" spans="1:4" x14ac:dyDescent="0.25">
      <c r="A88" t="s">
        <v>89</v>
      </c>
      <c r="B88" s="2">
        <v>45660</v>
      </c>
      <c r="C88" s="1">
        <v>6</v>
      </c>
      <c r="D88" t="s">
        <v>29</v>
      </c>
    </row>
    <row r="89" spans="1:4" x14ac:dyDescent="0.25">
      <c r="A89" t="s">
        <v>137</v>
      </c>
      <c r="B89" s="2">
        <v>45661</v>
      </c>
      <c r="C89" s="1">
        <v>6</v>
      </c>
      <c r="D89" t="s">
        <v>29</v>
      </c>
    </row>
    <row r="90" spans="1:4" x14ac:dyDescent="0.25">
      <c r="A90" t="s">
        <v>74</v>
      </c>
      <c r="B90" s="2">
        <v>45680</v>
      </c>
      <c r="C90" s="1">
        <v>6</v>
      </c>
      <c r="D90" t="s">
        <v>29</v>
      </c>
    </row>
    <row r="91" spans="1:4" x14ac:dyDescent="0.25">
      <c r="A91" t="s">
        <v>105</v>
      </c>
      <c r="B91" s="2">
        <v>45681</v>
      </c>
      <c r="C91" s="1">
        <v>1.98</v>
      </c>
      <c r="D91" t="s">
        <v>29</v>
      </c>
    </row>
    <row r="92" spans="1:4" x14ac:dyDescent="0.25">
      <c r="A92" t="s">
        <v>92</v>
      </c>
      <c r="B92" s="2">
        <v>45660</v>
      </c>
      <c r="C92" s="1">
        <v>7.6</v>
      </c>
      <c r="D92" t="s">
        <v>29</v>
      </c>
    </row>
    <row r="93" spans="1:4" x14ac:dyDescent="0.25">
      <c r="A93" t="s">
        <v>74</v>
      </c>
      <c r="B93" s="2">
        <v>45674</v>
      </c>
      <c r="C93" s="1">
        <v>0.65</v>
      </c>
      <c r="D93" t="s">
        <v>29</v>
      </c>
    </row>
    <row r="94" spans="1:4" x14ac:dyDescent="0.25">
      <c r="A94" t="s">
        <v>100</v>
      </c>
      <c r="B94" s="2">
        <v>45659</v>
      </c>
      <c r="C94" s="1">
        <v>6</v>
      </c>
      <c r="D94" t="s">
        <v>29</v>
      </c>
    </row>
    <row r="95" spans="1:4" x14ac:dyDescent="0.25">
      <c r="A95" t="s">
        <v>126</v>
      </c>
      <c r="B95" s="2">
        <v>45660</v>
      </c>
      <c r="C95" s="1">
        <v>6</v>
      </c>
      <c r="D95" t="s">
        <v>29</v>
      </c>
    </row>
    <row r="96" spans="1:4" x14ac:dyDescent="0.25">
      <c r="A96" t="s">
        <v>73</v>
      </c>
      <c r="B96" s="2">
        <v>45661</v>
      </c>
      <c r="C96" s="1">
        <v>7</v>
      </c>
      <c r="D96" t="s">
        <v>29</v>
      </c>
    </row>
    <row r="97" spans="1:4" x14ac:dyDescent="0.25">
      <c r="A97" t="s">
        <v>115</v>
      </c>
      <c r="B97" s="2">
        <v>45678</v>
      </c>
      <c r="C97" s="1">
        <v>7</v>
      </c>
      <c r="D97" t="s">
        <v>29</v>
      </c>
    </row>
    <row r="98" spans="1:4" x14ac:dyDescent="0.25">
      <c r="A98" t="s">
        <v>130</v>
      </c>
      <c r="B98" s="2">
        <v>45688</v>
      </c>
      <c r="C98" s="1">
        <v>1</v>
      </c>
      <c r="D98" t="s">
        <v>29</v>
      </c>
    </row>
    <row r="99" spans="1:4" x14ac:dyDescent="0.25">
      <c r="A99" t="s">
        <v>126</v>
      </c>
      <c r="B99" s="2">
        <v>45674</v>
      </c>
      <c r="C99" s="1">
        <v>5</v>
      </c>
      <c r="D99" t="s">
        <v>29</v>
      </c>
    </row>
    <row r="100" spans="1:4" x14ac:dyDescent="0.25">
      <c r="A100" t="s">
        <v>78</v>
      </c>
      <c r="B100" s="2">
        <v>45659</v>
      </c>
      <c r="C100" s="1">
        <v>7.2</v>
      </c>
      <c r="D100" t="s">
        <v>29</v>
      </c>
    </row>
    <row r="101" spans="1:4" x14ac:dyDescent="0.25">
      <c r="A101" t="s">
        <v>128</v>
      </c>
      <c r="B101" s="2">
        <v>45660</v>
      </c>
      <c r="C101" s="1">
        <v>7.2</v>
      </c>
      <c r="D101" t="s">
        <v>29</v>
      </c>
    </row>
    <row r="102" spans="1:4" x14ac:dyDescent="0.25">
      <c r="A102" t="s">
        <v>83</v>
      </c>
      <c r="B102" s="2">
        <v>45670</v>
      </c>
      <c r="C102" s="1">
        <v>0.85</v>
      </c>
      <c r="D102" t="s">
        <v>29</v>
      </c>
    </row>
    <row r="103" spans="1:4" x14ac:dyDescent="0.25">
      <c r="A103" t="s">
        <v>123</v>
      </c>
      <c r="B103" s="2">
        <v>45659</v>
      </c>
      <c r="C103" s="1">
        <v>6</v>
      </c>
      <c r="D103" t="s">
        <v>29</v>
      </c>
    </row>
    <row r="104" spans="1:4" x14ac:dyDescent="0.25">
      <c r="A104" t="s">
        <v>138</v>
      </c>
      <c r="B104" s="2">
        <v>45660</v>
      </c>
      <c r="C104" s="1">
        <v>6</v>
      </c>
      <c r="D104" t="s">
        <v>29</v>
      </c>
    </row>
    <row r="105" spans="1:4" x14ac:dyDescent="0.25">
      <c r="A105" t="s">
        <v>70</v>
      </c>
      <c r="B105" s="2">
        <v>45661</v>
      </c>
      <c r="C105" s="1">
        <v>6</v>
      </c>
      <c r="D105" t="s">
        <v>29</v>
      </c>
    </row>
    <row r="106" spans="1:4" x14ac:dyDescent="0.25">
      <c r="A106" t="s">
        <v>88</v>
      </c>
      <c r="B106" s="2">
        <v>45659</v>
      </c>
      <c r="C106" s="1">
        <v>7.2</v>
      </c>
      <c r="D106" t="s">
        <v>29</v>
      </c>
    </row>
    <row r="107" spans="1:4" x14ac:dyDescent="0.25">
      <c r="A107" t="s">
        <v>82</v>
      </c>
      <c r="B107" s="2">
        <v>45660</v>
      </c>
      <c r="C107" s="1">
        <v>7.2</v>
      </c>
      <c r="D107" t="s">
        <v>29</v>
      </c>
    </row>
    <row r="108" spans="1:4" x14ac:dyDescent="0.25">
      <c r="A108" t="s">
        <v>74</v>
      </c>
      <c r="B108" s="2">
        <v>45659</v>
      </c>
      <c r="C108" s="1">
        <v>7.2</v>
      </c>
      <c r="D108" t="s">
        <v>29</v>
      </c>
    </row>
    <row r="109" spans="1:4" x14ac:dyDescent="0.25">
      <c r="A109" t="s">
        <v>136</v>
      </c>
      <c r="B109" s="2">
        <v>45660</v>
      </c>
      <c r="C109" s="1">
        <v>7.2</v>
      </c>
      <c r="D109" t="s">
        <v>29</v>
      </c>
    </row>
    <row r="110" spans="1:4" x14ac:dyDescent="0.25">
      <c r="A110" t="s">
        <v>101</v>
      </c>
      <c r="B110" s="2">
        <v>45674</v>
      </c>
      <c r="C110" s="1">
        <v>7.2</v>
      </c>
      <c r="D110" t="s">
        <v>29</v>
      </c>
    </row>
    <row r="111" spans="1:4" x14ac:dyDescent="0.25">
      <c r="A111" t="s">
        <v>107</v>
      </c>
      <c r="B111" s="2">
        <v>45659</v>
      </c>
      <c r="C111" s="1">
        <v>7.6</v>
      </c>
      <c r="D111" t="s">
        <v>29</v>
      </c>
    </row>
    <row r="112" spans="1:4" x14ac:dyDescent="0.25">
      <c r="A112" t="s">
        <v>136</v>
      </c>
      <c r="B112" s="2">
        <v>45660</v>
      </c>
      <c r="C112" s="1">
        <v>7.6</v>
      </c>
      <c r="D112" t="s">
        <v>29</v>
      </c>
    </row>
    <row r="113" spans="1:4" x14ac:dyDescent="0.25">
      <c r="A113" t="s">
        <v>98</v>
      </c>
      <c r="B113" s="2">
        <v>45667</v>
      </c>
      <c r="C113" s="1">
        <v>1.1000000000000001</v>
      </c>
      <c r="D113" t="s">
        <v>29</v>
      </c>
    </row>
    <row r="114" spans="1:4" x14ac:dyDescent="0.25">
      <c r="A114" t="s">
        <v>99</v>
      </c>
      <c r="B114" s="2">
        <v>45672</v>
      </c>
      <c r="C114" s="1">
        <v>2.2799999999999998</v>
      </c>
      <c r="D114" t="s">
        <v>29</v>
      </c>
    </row>
    <row r="115" spans="1:4" x14ac:dyDescent="0.25">
      <c r="A115" t="s">
        <v>115</v>
      </c>
      <c r="B115" s="2">
        <v>45673</v>
      </c>
      <c r="C115" s="1">
        <v>1.1000000000000001</v>
      </c>
      <c r="D115" t="s">
        <v>29</v>
      </c>
    </row>
    <row r="116" spans="1:4" x14ac:dyDescent="0.25">
      <c r="A116" t="s">
        <v>137</v>
      </c>
      <c r="B116" s="2">
        <v>45674</v>
      </c>
      <c r="C116" s="1">
        <v>7.6</v>
      </c>
      <c r="D116" t="s">
        <v>29</v>
      </c>
    </row>
    <row r="117" spans="1:4" x14ac:dyDescent="0.25">
      <c r="A117" t="s">
        <v>74</v>
      </c>
      <c r="B117" s="2">
        <v>45679</v>
      </c>
      <c r="C117" s="1">
        <v>0.9</v>
      </c>
      <c r="D117" t="s">
        <v>29</v>
      </c>
    </row>
    <row r="118" spans="1:4" x14ac:dyDescent="0.25">
      <c r="A118" t="s">
        <v>142</v>
      </c>
      <c r="B118" s="2">
        <v>45681</v>
      </c>
      <c r="C118" s="1">
        <v>0.35</v>
      </c>
      <c r="D118" t="s">
        <v>29</v>
      </c>
    </row>
    <row r="119" spans="1:4" x14ac:dyDescent="0.25">
      <c r="A119" t="s">
        <v>107</v>
      </c>
      <c r="B119" s="2">
        <v>45686</v>
      </c>
      <c r="C119" s="1">
        <v>7.6</v>
      </c>
      <c r="D119" t="s">
        <v>29</v>
      </c>
    </row>
    <row r="120" spans="1:4" x14ac:dyDescent="0.25">
      <c r="A120" t="s">
        <v>91</v>
      </c>
      <c r="B120" s="2">
        <v>45688</v>
      </c>
      <c r="C120" s="1">
        <v>0.63</v>
      </c>
      <c r="D120" t="s">
        <v>29</v>
      </c>
    </row>
    <row r="121" spans="1:4" x14ac:dyDescent="0.25">
      <c r="A121" t="s">
        <v>94</v>
      </c>
      <c r="B121" s="2">
        <v>45659</v>
      </c>
      <c r="C121" s="1">
        <v>6</v>
      </c>
      <c r="D121" t="s">
        <v>29</v>
      </c>
    </row>
    <row r="122" spans="1:4" x14ac:dyDescent="0.25">
      <c r="A122" t="s">
        <v>111</v>
      </c>
      <c r="B122" s="2">
        <v>45660</v>
      </c>
      <c r="C122" s="1">
        <v>6</v>
      </c>
      <c r="D122" t="s">
        <v>29</v>
      </c>
    </row>
    <row r="123" spans="1:4" x14ac:dyDescent="0.25">
      <c r="A123" t="s">
        <v>104</v>
      </c>
      <c r="B123" s="2">
        <v>45661</v>
      </c>
      <c r="C123" s="1">
        <v>6</v>
      </c>
      <c r="D123" t="s">
        <v>29</v>
      </c>
    </row>
    <row r="124" spans="1:4" x14ac:dyDescent="0.25">
      <c r="A124" t="s">
        <v>131</v>
      </c>
      <c r="B124" s="2">
        <v>45659</v>
      </c>
      <c r="C124" s="1">
        <v>7.2</v>
      </c>
      <c r="D124" t="s">
        <v>29</v>
      </c>
    </row>
    <row r="125" spans="1:4" x14ac:dyDescent="0.25">
      <c r="A125" t="s">
        <v>90</v>
      </c>
      <c r="B125" s="2">
        <v>45660</v>
      </c>
      <c r="C125" s="1">
        <v>7.2</v>
      </c>
      <c r="D125" t="s">
        <v>29</v>
      </c>
    </row>
    <row r="126" spans="1:4" x14ac:dyDescent="0.25">
      <c r="A126" t="s">
        <v>124</v>
      </c>
      <c r="B126" s="2">
        <v>45661</v>
      </c>
      <c r="C126" s="1">
        <v>7.2</v>
      </c>
      <c r="D126" t="s">
        <v>29</v>
      </c>
    </row>
    <row r="127" spans="1:4" x14ac:dyDescent="0.25">
      <c r="A127" t="s">
        <v>106</v>
      </c>
      <c r="B127" s="2">
        <v>45684</v>
      </c>
      <c r="C127" s="1">
        <v>1.77</v>
      </c>
      <c r="D127" t="s">
        <v>29</v>
      </c>
    </row>
    <row r="128" spans="1:4" x14ac:dyDescent="0.25">
      <c r="A128" t="s">
        <v>80</v>
      </c>
      <c r="B128" s="2">
        <v>45679</v>
      </c>
      <c r="C128" s="1">
        <v>7.2</v>
      </c>
      <c r="D128" t="s">
        <v>29</v>
      </c>
    </row>
    <row r="129" spans="1:4" x14ac:dyDescent="0.25">
      <c r="A129" t="s">
        <v>80</v>
      </c>
      <c r="B129" s="2">
        <v>45681</v>
      </c>
      <c r="C129" s="1">
        <v>7.2</v>
      </c>
      <c r="D129" t="s">
        <v>29</v>
      </c>
    </row>
    <row r="130" spans="1:4" x14ac:dyDescent="0.25">
      <c r="A130" t="s">
        <v>113</v>
      </c>
      <c r="B130" s="2">
        <v>45660</v>
      </c>
      <c r="C130" s="1">
        <v>7.2</v>
      </c>
      <c r="D130" t="s">
        <v>29</v>
      </c>
    </row>
    <row r="131" spans="1:4" x14ac:dyDescent="0.25">
      <c r="A131" t="s">
        <v>115</v>
      </c>
      <c r="B131" s="2">
        <v>45659</v>
      </c>
      <c r="C131" s="1">
        <v>7.2</v>
      </c>
      <c r="D131" t="s">
        <v>29</v>
      </c>
    </row>
    <row r="132" spans="1:4" x14ac:dyDescent="0.25">
      <c r="A132" t="s">
        <v>94</v>
      </c>
      <c r="B132" s="2">
        <v>45660</v>
      </c>
      <c r="C132" s="1">
        <v>7.2</v>
      </c>
      <c r="D132" t="s">
        <v>29</v>
      </c>
    </row>
    <row r="133" spans="1:4" x14ac:dyDescent="0.25">
      <c r="A133" t="s">
        <v>115</v>
      </c>
      <c r="B133" s="2">
        <v>45664</v>
      </c>
      <c r="C133" s="1">
        <v>7.2</v>
      </c>
      <c r="D133" t="s">
        <v>29</v>
      </c>
    </row>
    <row r="134" spans="1:4" x14ac:dyDescent="0.25">
      <c r="A134" t="s">
        <v>85</v>
      </c>
      <c r="B134" s="2">
        <v>45665</v>
      </c>
      <c r="C134" s="1">
        <v>0.32</v>
      </c>
      <c r="D134" t="s">
        <v>29</v>
      </c>
    </row>
    <row r="135" spans="1:4" x14ac:dyDescent="0.25">
      <c r="A135" t="s">
        <v>124</v>
      </c>
      <c r="B135" s="2">
        <v>45666</v>
      </c>
      <c r="C135" s="1">
        <v>0.18</v>
      </c>
      <c r="D135" t="s">
        <v>29</v>
      </c>
    </row>
    <row r="136" spans="1:4" x14ac:dyDescent="0.25">
      <c r="A136" t="s">
        <v>73</v>
      </c>
      <c r="B136" s="2">
        <v>45670</v>
      </c>
      <c r="C136" s="1">
        <v>0.27</v>
      </c>
      <c r="D136" t="s">
        <v>29</v>
      </c>
    </row>
    <row r="137" spans="1:4" x14ac:dyDescent="0.25">
      <c r="A137" t="s">
        <v>132</v>
      </c>
      <c r="B137" s="2">
        <v>45671</v>
      </c>
      <c r="C137" s="1">
        <v>0.18</v>
      </c>
      <c r="D137" t="s">
        <v>29</v>
      </c>
    </row>
    <row r="138" spans="1:4" x14ac:dyDescent="0.25">
      <c r="A138" t="s">
        <v>133</v>
      </c>
      <c r="B138" s="2">
        <v>45673</v>
      </c>
      <c r="C138" s="1">
        <v>7.2</v>
      </c>
      <c r="D138" t="s">
        <v>29</v>
      </c>
    </row>
    <row r="139" spans="1:4" x14ac:dyDescent="0.25">
      <c r="A139" t="s">
        <v>68</v>
      </c>
      <c r="B139" s="2">
        <v>45678</v>
      </c>
      <c r="C139" s="1">
        <v>7.2</v>
      </c>
      <c r="D139" t="s">
        <v>29</v>
      </c>
    </row>
    <row r="140" spans="1:4" x14ac:dyDescent="0.25">
      <c r="A140" t="s">
        <v>67</v>
      </c>
      <c r="B140" s="2">
        <v>45679</v>
      </c>
      <c r="C140" s="1">
        <v>0.23</v>
      </c>
      <c r="D140" t="s">
        <v>29</v>
      </c>
    </row>
    <row r="141" spans="1:4" x14ac:dyDescent="0.25">
      <c r="A141" t="s">
        <v>129</v>
      </c>
      <c r="B141" s="2">
        <v>45685</v>
      </c>
      <c r="C141" s="1">
        <v>0.5</v>
      </c>
      <c r="D141" t="s">
        <v>29</v>
      </c>
    </row>
    <row r="142" spans="1:4" x14ac:dyDescent="0.25">
      <c r="A142" t="s">
        <v>80</v>
      </c>
      <c r="B142" s="2">
        <v>45659</v>
      </c>
      <c r="C142" s="1">
        <v>7.2</v>
      </c>
      <c r="D142" t="s">
        <v>29</v>
      </c>
    </row>
    <row r="143" spans="1:4" x14ac:dyDescent="0.25">
      <c r="A143" t="s">
        <v>86</v>
      </c>
      <c r="B143" s="2">
        <v>45660</v>
      </c>
      <c r="C143" s="1">
        <v>0.95</v>
      </c>
      <c r="D143" t="s">
        <v>29</v>
      </c>
    </row>
    <row r="144" spans="1:4" x14ac:dyDescent="0.25">
      <c r="A144" t="s">
        <v>132</v>
      </c>
      <c r="B144" s="2">
        <v>45670</v>
      </c>
      <c r="C144" s="1">
        <v>1.2</v>
      </c>
      <c r="D144" t="s">
        <v>29</v>
      </c>
    </row>
    <row r="145" spans="1:4" x14ac:dyDescent="0.25">
      <c r="A145" t="s">
        <v>101</v>
      </c>
      <c r="B145" s="2">
        <v>45678</v>
      </c>
      <c r="C145" s="1">
        <v>0.5</v>
      </c>
      <c r="D145" t="s">
        <v>29</v>
      </c>
    </row>
    <row r="146" spans="1:4" x14ac:dyDescent="0.25">
      <c r="A146" t="s">
        <v>70</v>
      </c>
      <c r="B146" s="2">
        <v>45681</v>
      </c>
      <c r="C146" s="1">
        <v>4</v>
      </c>
      <c r="D146" t="s">
        <v>29</v>
      </c>
    </row>
    <row r="147" spans="1:4" x14ac:dyDescent="0.25">
      <c r="A147" t="s">
        <v>124</v>
      </c>
      <c r="B147" s="2">
        <v>45686</v>
      </c>
      <c r="C147" s="1">
        <v>1.5</v>
      </c>
      <c r="D147" t="s">
        <v>29</v>
      </c>
    </row>
    <row r="148" spans="1:4" x14ac:dyDescent="0.25">
      <c r="A148" t="s">
        <v>99</v>
      </c>
      <c r="B148" s="2">
        <v>45659</v>
      </c>
      <c r="C148" s="1">
        <v>7.6</v>
      </c>
      <c r="D148" t="s">
        <v>29</v>
      </c>
    </row>
    <row r="149" spans="1:4" x14ac:dyDescent="0.25">
      <c r="A149" t="s">
        <v>115</v>
      </c>
      <c r="B149" s="2">
        <v>45660</v>
      </c>
      <c r="C149" s="1">
        <v>7.6</v>
      </c>
      <c r="D149" t="s">
        <v>29</v>
      </c>
    </row>
    <row r="150" spans="1:4" x14ac:dyDescent="0.25">
      <c r="A150" t="s">
        <v>108</v>
      </c>
      <c r="B150" s="2">
        <v>45660</v>
      </c>
      <c r="C150" s="1">
        <v>1.1200000000000001</v>
      </c>
      <c r="D150" t="s">
        <v>29</v>
      </c>
    </row>
    <row r="151" spans="1:4" x14ac:dyDescent="0.25">
      <c r="A151" t="s">
        <v>124</v>
      </c>
      <c r="B151" s="2">
        <v>45664</v>
      </c>
      <c r="C151" s="1">
        <v>7.2</v>
      </c>
      <c r="D151" t="s">
        <v>29</v>
      </c>
    </row>
    <row r="152" spans="1:4" x14ac:dyDescent="0.25">
      <c r="A152" t="s">
        <v>102</v>
      </c>
      <c r="B152" s="2">
        <v>45659</v>
      </c>
      <c r="C152" s="1">
        <v>6</v>
      </c>
      <c r="D152" t="s">
        <v>29</v>
      </c>
    </row>
    <row r="153" spans="1:4" x14ac:dyDescent="0.25">
      <c r="A153" t="s">
        <v>65</v>
      </c>
      <c r="B153" s="2">
        <v>45660</v>
      </c>
      <c r="C153" s="1">
        <v>6</v>
      </c>
      <c r="D153" t="s">
        <v>29</v>
      </c>
    </row>
    <row r="154" spans="1:4" x14ac:dyDescent="0.25">
      <c r="A154" t="s">
        <v>142</v>
      </c>
      <c r="B154" s="2">
        <v>45659</v>
      </c>
      <c r="C154" s="1">
        <v>7.2</v>
      </c>
      <c r="D154" t="s">
        <v>29</v>
      </c>
    </row>
    <row r="155" spans="1:4" x14ac:dyDescent="0.25">
      <c r="A155" t="s">
        <v>102</v>
      </c>
      <c r="B155" s="2">
        <v>45660</v>
      </c>
      <c r="C155" s="1">
        <v>7.2</v>
      </c>
      <c r="D155" t="s">
        <v>29</v>
      </c>
    </row>
    <row r="156" spans="1:4" x14ac:dyDescent="0.25">
      <c r="A156" t="s">
        <v>108</v>
      </c>
      <c r="B156" s="2">
        <v>45672</v>
      </c>
      <c r="C156" s="1">
        <v>7.2</v>
      </c>
      <c r="D156" t="s">
        <v>29</v>
      </c>
    </row>
    <row r="157" spans="1:4" x14ac:dyDescent="0.25">
      <c r="A157" t="s">
        <v>81</v>
      </c>
      <c r="B157" s="2">
        <v>45673</v>
      </c>
      <c r="C157" s="1">
        <v>7.2</v>
      </c>
      <c r="D157" t="s">
        <v>29</v>
      </c>
    </row>
    <row r="158" spans="1:4" x14ac:dyDescent="0.25">
      <c r="A158" t="s">
        <v>141</v>
      </c>
      <c r="B158" s="2">
        <v>45674</v>
      </c>
      <c r="C158" s="1">
        <v>7.2</v>
      </c>
      <c r="D158" t="s">
        <v>29</v>
      </c>
    </row>
    <row r="159" spans="1:4" x14ac:dyDescent="0.25">
      <c r="A159" t="s">
        <v>103</v>
      </c>
      <c r="B159" s="2">
        <v>45677</v>
      </c>
      <c r="C159" s="1">
        <v>6</v>
      </c>
      <c r="D159" t="s">
        <v>29</v>
      </c>
    </row>
    <row r="160" spans="1:4" x14ac:dyDescent="0.25">
      <c r="A160" t="s">
        <v>128</v>
      </c>
      <c r="B160" s="2">
        <v>45659</v>
      </c>
      <c r="C160" s="1">
        <v>1</v>
      </c>
      <c r="D160" t="s">
        <v>29</v>
      </c>
    </row>
    <row r="161" spans="1:4" x14ac:dyDescent="0.25">
      <c r="A161" t="s">
        <v>71</v>
      </c>
      <c r="B161" s="2">
        <v>45672</v>
      </c>
      <c r="C161" s="1">
        <v>0.3</v>
      </c>
      <c r="D161" t="s">
        <v>29</v>
      </c>
    </row>
    <row r="162" spans="1:4" x14ac:dyDescent="0.25">
      <c r="A162" t="s">
        <v>129</v>
      </c>
      <c r="B162" s="2">
        <v>45659</v>
      </c>
      <c r="C162" s="1">
        <v>7.6</v>
      </c>
      <c r="D162" t="s">
        <v>29</v>
      </c>
    </row>
    <row r="163" spans="1:4" x14ac:dyDescent="0.25">
      <c r="A163" t="s">
        <v>115</v>
      </c>
      <c r="B163" s="2">
        <v>45659</v>
      </c>
      <c r="C163" s="1">
        <v>7.2</v>
      </c>
      <c r="D163" t="s">
        <v>29</v>
      </c>
    </row>
    <row r="164" spans="1:4" x14ac:dyDescent="0.25">
      <c r="A164" t="s">
        <v>97</v>
      </c>
      <c r="B164" s="2">
        <v>45660</v>
      </c>
      <c r="C164" s="1">
        <v>7.2</v>
      </c>
      <c r="D164" t="s">
        <v>29</v>
      </c>
    </row>
    <row r="165" spans="1:4" x14ac:dyDescent="0.25">
      <c r="A165" t="s">
        <v>95</v>
      </c>
      <c r="B165" s="2">
        <v>45659</v>
      </c>
      <c r="C165" s="1">
        <v>7.2</v>
      </c>
      <c r="D165" t="s">
        <v>29</v>
      </c>
    </row>
    <row r="166" spans="1:4" x14ac:dyDescent="0.25">
      <c r="A166" t="s">
        <v>102</v>
      </c>
      <c r="B166" s="2">
        <v>45660</v>
      </c>
      <c r="C166" s="1">
        <v>7.2</v>
      </c>
      <c r="D166" t="s">
        <v>29</v>
      </c>
    </row>
    <row r="167" spans="1:4" x14ac:dyDescent="0.25">
      <c r="A167" t="s">
        <v>80</v>
      </c>
      <c r="B167" s="2">
        <v>45677</v>
      </c>
      <c r="C167" s="1">
        <v>0.67</v>
      </c>
      <c r="D167" t="s">
        <v>29</v>
      </c>
    </row>
    <row r="168" spans="1:4" x14ac:dyDescent="0.25">
      <c r="A168" t="s">
        <v>75</v>
      </c>
      <c r="B168" s="2">
        <v>45680</v>
      </c>
      <c r="C168" s="1">
        <v>1.35</v>
      </c>
      <c r="D168" t="s">
        <v>29</v>
      </c>
    </row>
    <row r="169" spans="1:4" x14ac:dyDescent="0.25">
      <c r="A169" t="s">
        <v>102</v>
      </c>
      <c r="B169" s="2">
        <v>45659</v>
      </c>
      <c r="C169" s="1">
        <v>6</v>
      </c>
      <c r="D169" t="s">
        <v>29</v>
      </c>
    </row>
    <row r="170" spans="1:4" x14ac:dyDescent="0.25">
      <c r="A170" t="s">
        <v>117</v>
      </c>
      <c r="B170" s="2">
        <v>45660</v>
      </c>
      <c r="C170" s="1">
        <v>6</v>
      </c>
      <c r="D170" t="s">
        <v>29</v>
      </c>
    </row>
    <row r="171" spans="1:4" x14ac:dyDescent="0.25">
      <c r="A171" t="s">
        <v>117</v>
      </c>
      <c r="B171" s="2">
        <v>45664</v>
      </c>
      <c r="C171" s="1">
        <v>6</v>
      </c>
      <c r="D171" t="s">
        <v>29</v>
      </c>
    </row>
    <row r="172" spans="1:4" x14ac:dyDescent="0.25">
      <c r="A172" t="s">
        <v>100</v>
      </c>
      <c r="B172" s="2">
        <v>45667</v>
      </c>
      <c r="C172" s="1">
        <v>3.15</v>
      </c>
      <c r="D172" t="s">
        <v>29</v>
      </c>
    </row>
    <row r="173" spans="1:4" x14ac:dyDescent="0.25">
      <c r="A173" t="s">
        <v>126</v>
      </c>
      <c r="B173" s="2">
        <v>45681</v>
      </c>
      <c r="C173" s="1">
        <v>0.92</v>
      </c>
      <c r="D173" t="s">
        <v>29</v>
      </c>
    </row>
    <row r="174" spans="1:4" x14ac:dyDescent="0.25">
      <c r="A174" t="s">
        <v>75</v>
      </c>
      <c r="B174" s="2">
        <v>45688</v>
      </c>
      <c r="C174" s="1">
        <v>1</v>
      </c>
      <c r="D174" t="s">
        <v>29</v>
      </c>
    </row>
    <row r="175" spans="1:4" x14ac:dyDescent="0.25">
      <c r="A175" t="s">
        <v>110</v>
      </c>
      <c r="B175" s="2">
        <v>45659</v>
      </c>
      <c r="C175" s="1">
        <v>7.2</v>
      </c>
      <c r="D175" t="s">
        <v>29</v>
      </c>
    </row>
    <row r="176" spans="1:4" x14ac:dyDescent="0.25">
      <c r="A176" t="s">
        <v>120</v>
      </c>
      <c r="B176" s="2">
        <v>45671</v>
      </c>
      <c r="C176" s="1">
        <v>7.2</v>
      </c>
      <c r="D176" t="s">
        <v>29</v>
      </c>
    </row>
    <row r="177" spans="1:4" x14ac:dyDescent="0.25">
      <c r="A177" t="s">
        <v>138</v>
      </c>
      <c r="B177" s="2">
        <v>45659</v>
      </c>
      <c r="C177" s="1">
        <v>7.6</v>
      </c>
      <c r="D177" t="s">
        <v>29</v>
      </c>
    </row>
    <row r="178" spans="1:4" x14ac:dyDescent="0.25">
      <c r="A178" t="s">
        <v>120</v>
      </c>
      <c r="B178" s="2">
        <v>45660</v>
      </c>
      <c r="C178" s="1">
        <v>7.6</v>
      </c>
      <c r="D178" t="s">
        <v>29</v>
      </c>
    </row>
    <row r="179" spans="1:4" x14ac:dyDescent="0.25">
      <c r="A179" t="s">
        <v>142</v>
      </c>
      <c r="B179" s="2">
        <v>45674</v>
      </c>
      <c r="C179" s="1">
        <v>7.6</v>
      </c>
      <c r="D179" t="s">
        <v>29</v>
      </c>
    </row>
    <row r="180" spans="1:4" x14ac:dyDescent="0.25">
      <c r="A180" t="s">
        <v>99</v>
      </c>
      <c r="B180" s="2">
        <v>45659</v>
      </c>
      <c r="C180" s="1">
        <v>7.2</v>
      </c>
      <c r="D180" t="s">
        <v>29</v>
      </c>
    </row>
    <row r="181" spans="1:4" x14ac:dyDescent="0.25">
      <c r="A181" t="s">
        <v>140</v>
      </c>
      <c r="B181" s="2">
        <v>45660</v>
      </c>
      <c r="C181" s="1">
        <v>7.2</v>
      </c>
      <c r="D181" t="s">
        <v>29</v>
      </c>
    </row>
    <row r="182" spans="1:4" x14ac:dyDescent="0.25">
      <c r="A182" t="s">
        <v>83</v>
      </c>
      <c r="B182" s="2">
        <v>45673</v>
      </c>
      <c r="C182" s="1">
        <v>7.6</v>
      </c>
      <c r="D182" t="s">
        <v>29</v>
      </c>
    </row>
    <row r="183" spans="1:4" x14ac:dyDescent="0.25">
      <c r="A183" t="s">
        <v>116</v>
      </c>
      <c r="B183" s="2">
        <v>45659</v>
      </c>
      <c r="C183" s="1">
        <v>7.2</v>
      </c>
      <c r="D183" t="s">
        <v>29</v>
      </c>
    </row>
    <row r="184" spans="1:4" x14ac:dyDescent="0.25">
      <c r="A184" t="s">
        <v>96</v>
      </c>
      <c r="B184" s="2">
        <v>45660</v>
      </c>
      <c r="C184" s="1">
        <v>7.2</v>
      </c>
      <c r="D184" t="s">
        <v>29</v>
      </c>
    </row>
    <row r="185" spans="1:4" x14ac:dyDescent="0.25">
      <c r="A185" t="s">
        <v>103</v>
      </c>
      <c r="B185" s="2">
        <v>45659</v>
      </c>
      <c r="C185" s="1">
        <v>7.6</v>
      </c>
      <c r="D185" t="s">
        <v>29</v>
      </c>
    </row>
    <row r="186" spans="1:4" x14ac:dyDescent="0.25">
      <c r="A186" t="s">
        <v>116</v>
      </c>
      <c r="B186" s="2">
        <v>45660</v>
      </c>
      <c r="C186" s="1">
        <v>7.6</v>
      </c>
      <c r="D186" t="s">
        <v>29</v>
      </c>
    </row>
    <row r="187" spans="1:4" x14ac:dyDescent="0.25">
      <c r="A187" t="s">
        <v>65</v>
      </c>
      <c r="B187" s="2">
        <v>45659</v>
      </c>
      <c r="C187" s="1">
        <v>7.2</v>
      </c>
      <c r="D187" t="s">
        <v>29</v>
      </c>
    </row>
    <row r="188" spans="1:4" x14ac:dyDescent="0.25">
      <c r="A188" t="s">
        <v>117</v>
      </c>
      <c r="B188" s="2">
        <v>45660</v>
      </c>
      <c r="C188" s="1">
        <v>7.2</v>
      </c>
      <c r="D188" t="s">
        <v>29</v>
      </c>
    </row>
    <row r="189" spans="1:4" x14ac:dyDescent="0.25">
      <c r="A189" t="s">
        <v>129</v>
      </c>
      <c r="B189" s="2">
        <v>45659</v>
      </c>
      <c r="C189" s="1">
        <v>7.6</v>
      </c>
      <c r="D189" t="s">
        <v>29</v>
      </c>
    </row>
    <row r="190" spans="1:4" x14ac:dyDescent="0.25">
      <c r="A190" t="s">
        <v>100</v>
      </c>
      <c r="B190" s="2">
        <v>45660</v>
      </c>
      <c r="C190" s="1">
        <v>7.6</v>
      </c>
      <c r="D190" t="s">
        <v>29</v>
      </c>
    </row>
    <row r="191" spans="1:4" x14ac:dyDescent="0.25">
      <c r="A191" t="s">
        <v>139</v>
      </c>
      <c r="B191" s="2">
        <v>45665</v>
      </c>
      <c r="C191" s="1">
        <v>7.2</v>
      </c>
      <c r="D191" t="s">
        <v>29</v>
      </c>
    </row>
    <row r="192" spans="1:4" x14ac:dyDescent="0.25">
      <c r="A192" t="s">
        <v>103</v>
      </c>
      <c r="B192" s="2">
        <v>45677</v>
      </c>
      <c r="C192" s="1">
        <v>7.2</v>
      </c>
      <c r="D192" t="s">
        <v>29</v>
      </c>
    </row>
    <row r="193" spans="1:4" x14ac:dyDescent="0.25">
      <c r="A193" t="s">
        <v>134</v>
      </c>
      <c r="B193" s="2">
        <v>45678</v>
      </c>
      <c r="C193" s="1">
        <v>7.2</v>
      </c>
      <c r="D193" t="s">
        <v>29</v>
      </c>
    </row>
    <row r="194" spans="1:4" x14ac:dyDescent="0.25">
      <c r="A194" t="s">
        <v>76</v>
      </c>
      <c r="B194" s="2">
        <v>45679</v>
      </c>
      <c r="C194" s="1">
        <v>7.2</v>
      </c>
      <c r="D194" t="s">
        <v>29</v>
      </c>
    </row>
    <row r="195" spans="1:4" x14ac:dyDescent="0.25">
      <c r="A195" t="s">
        <v>111</v>
      </c>
      <c r="B195" s="2">
        <v>45680</v>
      </c>
      <c r="C195" s="1">
        <v>7.2</v>
      </c>
      <c r="D195" t="s">
        <v>29</v>
      </c>
    </row>
    <row r="196" spans="1:4" x14ac:dyDescent="0.25">
      <c r="A196" t="s">
        <v>88</v>
      </c>
      <c r="B196" s="2">
        <v>45681</v>
      </c>
      <c r="C196" s="1">
        <v>7.2</v>
      </c>
      <c r="D196" t="s">
        <v>29</v>
      </c>
    </row>
    <row r="197" spans="1:4" x14ac:dyDescent="0.25">
      <c r="A197" t="s">
        <v>77</v>
      </c>
      <c r="B197" s="2">
        <v>45659</v>
      </c>
      <c r="C197" s="1">
        <v>6</v>
      </c>
      <c r="D197" t="s">
        <v>29</v>
      </c>
    </row>
    <row r="198" spans="1:4" x14ac:dyDescent="0.25">
      <c r="A198" t="s">
        <v>109</v>
      </c>
      <c r="B198" s="2">
        <v>45660</v>
      </c>
      <c r="C198" s="1">
        <v>6</v>
      </c>
      <c r="D198" t="s">
        <v>29</v>
      </c>
    </row>
    <row r="199" spans="1:4" x14ac:dyDescent="0.25">
      <c r="A199" t="s">
        <v>106</v>
      </c>
      <c r="B199" s="2">
        <v>45671</v>
      </c>
      <c r="C199" s="1">
        <v>2</v>
      </c>
      <c r="D199" t="s">
        <v>29</v>
      </c>
    </row>
    <row r="200" spans="1:4" x14ac:dyDescent="0.25">
      <c r="A200" t="s">
        <v>67</v>
      </c>
      <c r="B200" s="2">
        <v>45659</v>
      </c>
      <c r="C200" s="1">
        <v>7.2</v>
      </c>
      <c r="D200" t="s">
        <v>29</v>
      </c>
    </row>
    <row r="201" spans="1:4" x14ac:dyDescent="0.25">
      <c r="A201" t="s">
        <v>113</v>
      </c>
      <c r="B201" s="2">
        <v>45661</v>
      </c>
      <c r="C201" s="1">
        <v>7.2</v>
      </c>
      <c r="D201" t="s">
        <v>29</v>
      </c>
    </row>
    <row r="202" spans="1:4" x14ac:dyDescent="0.25">
      <c r="A202" t="s">
        <v>144</v>
      </c>
      <c r="B202" s="2">
        <v>45674</v>
      </c>
      <c r="C202" s="1">
        <v>7.2</v>
      </c>
      <c r="D202" t="s">
        <v>29</v>
      </c>
    </row>
    <row r="203" spans="1:4" x14ac:dyDescent="0.25">
      <c r="A203" t="s">
        <v>65</v>
      </c>
      <c r="B203" s="2">
        <v>45675</v>
      </c>
      <c r="C203" s="1">
        <v>7.2</v>
      </c>
      <c r="D203" t="s">
        <v>29</v>
      </c>
    </row>
    <row r="204" spans="1:4" x14ac:dyDescent="0.25">
      <c r="A204" t="s">
        <v>69</v>
      </c>
      <c r="B204" s="2">
        <v>45683</v>
      </c>
      <c r="C204" s="1">
        <v>1</v>
      </c>
      <c r="D204" t="s">
        <v>29</v>
      </c>
    </row>
    <row r="205" spans="1:4" x14ac:dyDescent="0.25">
      <c r="A205" t="s">
        <v>131</v>
      </c>
      <c r="B205" s="2">
        <v>45660</v>
      </c>
      <c r="C205" s="1">
        <v>6</v>
      </c>
      <c r="D205" t="s">
        <v>29</v>
      </c>
    </row>
    <row r="206" spans="1:4" x14ac:dyDescent="0.25">
      <c r="A206" t="s">
        <v>72</v>
      </c>
      <c r="B206" s="2">
        <v>45661</v>
      </c>
      <c r="C206" s="1">
        <v>6</v>
      </c>
      <c r="D206" t="s">
        <v>29</v>
      </c>
    </row>
    <row r="207" spans="1:4" x14ac:dyDescent="0.25">
      <c r="A207" t="s">
        <v>99</v>
      </c>
      <c r="B207" s="2">
        <v>45670</v>
      </c>
      <c r="C207" s="1">
        <v>6</v>
      </c>
      <c r="D207" t="s">
        <v>29</v>
      </c>
    </row>
    <row r="208" spans="1:4" x14ac:dyDescent="0.25">
      <c r="A208" t="s">
        <v>72</v>
      </c>
      <c r="B208" s="2">
        <v>45674</v>
      </c>
      <c r="C208" s="1">
        <v>10</v>
      </c>
      <c r="D208" t="s">
        <v>29</v>
      </c>
    </row>
    <row r="209" spans="1:4" x14ac:dyDescent="0.25">
      <c r="A209" t="s">
        <v>72</v>
      </c>
      <c r="B209" s="2">
        <v>45685</v>
      </c>
      <c r="C209" s="1">
        <v>6</v>
      </c>
      <c r="D209" t="s">
        <v>29</v>
      </c>
    </row>
    <row r="210" spans="1:4" x14ac:dyDescent="0.25">
      <c r="A210" t="s">
        <v>143</v>
      </c>
      <c r="B210" s="2">
        <v>45674</v>
      </c>
      <c r="C210" s="1">
        <v>0.8</v>
      </c>
      <c r="D210" t="s">
        <v>29</v>
      </c>
    </row>
    <row r="211" spans="1:4" x14ac:dyDescent="0.25">
      <c r="A211" t="s">
        <v>76</v>
      </c>
      <c r="B211" s="2">
        <v>45685</v>
      </c>
      <c r="C211" s="1">
        <v>7</v>
      </c>
      <c r="D211" t="s">
        <v>29</v>
      </c>
    </row>
    <row r="212" spans="1:4" x14ac:dyDescent="0.25">
      <c r="A212" t="s">
        <v>71</v>
      </c>
      <c r="B212" s="2">
        <v>45661</v>
      </c>
      <c r="C212" s="1">
        <v>6</v>
      </c>
      <c r="D212" t="s">
        <v>29</v>
      </c>
    </row>
    <row r="213" spans="1:4" x14ac:dyDescent="0.25">
      <c r="A213" t="s">
        <v>72</v>
      </c>
      <c r="B213" s="2">
        <v>45660</v>
      </c>
      <c r="C213" s="1">
        <v>6</v>
      </c>
      <c r="D213" t="s">
        <v>29</v>
      </c>
    </row>
    <row r="214" spans="1:4" x14ac:dyDescent="0.25">
      <c r="A214" t="s">
        <v>80</v>
      </c>
      <c r="B214" s="2">
        <v>45666</v>
      </c>
      <c r="C214" s="1">
        <v>6</v>
      </c>
      <c r="D214" t="s">
        <v>29</v>
      </c>
    </row>
    <row r="215" spans="1:4" x14ac:dyDescent="0.25">
      <c r="A215" t="s">
        <v>105</v>
      </c>
      <c r="B215" s="2">
        <v>45659</v>
      </c>
      <c r="C215" s="1">
        <v>6</v>
      </c>
      <c r="D215" t="s">
        <v>29</v>
      </c>
    </row>
    <row r="216" spans="1:4" x14ac:dyDescent="0.25">
      <c r="A216" t="s">
        <v>118</v>
      </c>
      <c r="B216" s="2">
        <v>45660</v>
      </c>
      <c r="C216" s="1">
        <v>6</v>
      </c>
      <c r="D216" t="s">
        <v>29</v>
      </c>
    </row>
    <row r="217" spans="1:4" x14ac:dyDescent="0.25">
      <c r="A217" t="s">
        <v>117</v>
      </c>
      <c r="B217" s="2">
        <v>45661</v>
      </c>
      <c r="C217" s="1">
        <v>6</v>
      </c>
      <c r="D217" t="s">
        <v>29</v>
      </c>
    </row>
    <row r="218" spans="1:4" x14ac:dyDescent="0.25">
      <c r="A218" t="s">
        <v>148</v>
      </c>
      <c r="B218" s="2">
        <v>45664</v>
      </c>
      <c r="C218" s="1">
        <v>6</v>
      </c>
      <c r="D218" t="s">
        <v>29</v>
      </c>
    </row>
    <row r="219" spans="1:4" x14ac:dyDescent="0.25">
      <c r="A219" t="s">
        <v>146</v>
      </c>
      <c r="B219" s="2">
        <v>45659</v>
      </c>
      <c r="C219" s="1">
        <v>7.2</v>
      </c>
      <c r="D219" t="s">
        <v>29</v>
      </c>
    </row>
    <row r="220" spans="1:4" x14ac:dyDescent="0.25">
      <c r="A220" t="s">
        <v>121</v>
      </c>
      <c r="B220" s="2">
        <v>45660</v>
      </c>
      <c r="C220" s="1">
        <v>7.2</v>
      </c>
      <c r="D220" t="s">
        <v>29</v>
      </c>
    </row>
    <row r="221" spans="1:4" x14ac:dyDescent="0.25">
      <c r="A221" t="s">
        <v>146</v>
      </c>
      <c r="B221" s="2">
        <v>45672</v>
      </c>
      <c r="C221" s="1">
        <v>7.2</v>
      </c>
      <c r="D221" t="s">
        <v>29</v>
      </c>
    </row>
    <row r="222" spans="1:4" x14ac:dyDescent="0.25">
      <c r="A222" t="s">
        <v>107</v>
      </c>
      <c r="B222" s="2">
        <v>45673</v>
      </c>
      <c r="C222" s="1">
        <v>7.2</v>
      </c>
      <c r="D222" t="s">
        <v>29</v>
      </c>
    </row>
    <row r="223" spans="1:4" x14ac:dyDescent="0.25">
      <c r="A223" t="s">
        <v>120</v>
      </c>
      <c r="B223" s="2">
        <v>45674</v>
      </c>
      <c r="C223" s="1">
        <v>0.75</v>
      </c>
      <c r="D223" t="s">
        <v>29</v>
      </c>
    </row>
    <row r="224" spans="1:4" x14ac:dyDescent="0.25">
      <c r="A224" t="s">
        <v>108</v>
      </c>
      <c r="B224" s="2">
        <v>45659</v>
      </c>
      <c r="C224" s="1">
        <v>7.2</v>
      </c>
      <c r="D224" t="s">
        <v>29</v>
      </c>
    </row>
    <row r="225" spans="1:4" x14ac:dyDescent="0.25">
      <c r="A225" t="s">
        <v>102</v>
      </c>
      <c r="B225" s="2">
        <v>45660</v>
      </c>
      <c r="C225" s="1">
        <v>7.2</v>
      </c>
      <c r="D225" t="s">
        <v>29</v>
      </c>
    </row>
    <row r="226" spans="1:4" x14ac:dyDescent="0.25">
      <c r="A226" t="s">
        <v>133</v>
      </c>
      <c r="B226" s="2">
        <v>45677</v>
      </c>
      <c r="C226" s="1">
        <v>0.47</v>
      </c>
      <c r="D226" t="s">
        <v>29</v>
      </c>
    </row>
    <row r="227" spans="1:4" x14ac:dyDescent="0.25">
      <c r="A227" t="s">
        <v>68</v>
      </c>
      <c r="B227" s="2">
        <v>45659</v>
      </c>
      <c r="C227" s="1">
        <v>7.2</v>
      </c>
      <c r="D227" t="s">
        <v>29</v>
      </c>
    </row>
    <row r="228" spans="1:4" x14ac:dyDescent="0.25">
      <c r="A228" t="s">
        <v>139</v>
      </c>
      <c r="B228" s="2">
        <v>45660</v>
      </c>
      <c r="C228" s="1">
        <v>7.2</v>
      </c>
      <c r="D228" t="s">
        <v>29</v>
      </c>
    </row>
    <row r="229" spans="1:4" x14ac:dyDescent="0.25">
      <c r="A229" t="s">
        <v>148</v>
      </c>
      <c r="B229" s="2">
        <v>45665</v>
      </c>
      <c r="C229" s="1">
        <v>7.2</v>
      </c>
      <c r="D229" t="s">
        <v>29</v>
      </c>
    </row>
    <row r="230" spans="1:4" x14ac:dyDescent="0.25">
      <c r="A230" t="s">
        <v>87</v>
      </c>
      <c r="B230" s="2">
        <v>45674</v>
      </c>
      <c r="C230" s="1">
        <v>0.72</v>
      </c>
      <c r="D230" t="s">
        <v>29</v>
      </c>
    </row>
    <row r="231" spans="1:4" x14ac:dyDescent="0.25">
      <c r="A231" t="s">
        <v>137</v>
      </c>
      <c r="B231" s="2">
        <v>45659</v>
      </c>
      <c r="C231" s="1">
        <v>6</v>
      </c>
      <c r="D231" t="s">
        <v>29</v>
      </c>
    </row>
    <row r="232" spans="1:4" x14ac:dyDescent="0.25">
      <c r="A232" t="s">
        <v>116</v>
      </c>
      <c r="B232" s="2">
        <v>45660</v>
      </c>
      <c r="C232" s="1">
        <v>6</v>
      </c>
      <c r="D232" t="s">
        <v>29</v>
      </c>
    </row>
    <row r="233" spans="1:4" x14ac:dyDescent="0.25">
      <c r="A233" t="s">
        <v>85</v>
      </c>
      <c r="B233" s="2">
        <v>45661</v>
      </c>
      <c r="C233" s="1">
        <v>6</v>
      </c>
      <c r="D233" t="s">
        <v>29</v>
      </c>
    </row>
    <row r="234" spans="1:4" x14ac:dyDescent="0.25">
      <c r="A234" t="s">
        <v>82</v>
      </c>
      <c r="B234" s="2">
        <v>45674</v>
      </c>
      <c r="C234" s="1">
        <v>6</v>
      </c>
      <c r="D234" t="s">
        <v>29</v>
      </c>
    </row>
    <row r="235" spans="1:4" x14ac:dyDescent="0.25">
      <c r="A235" t="s">
        <v>88</v>
      </c>
      <c r="B235" s="2">
        <v>45659</v>
      </c>
      <c r="C235" s="1">
        <v>7.2</v>
      </c>
      <c r="D235" t="s">
        <v>29</v>
      </c>
    </row>
    <row r="236" spans="1:4" x14ac:dyDescent="0.25">
      <c r="A236" t="s">
        <v>122</v>
      </c>
      <c r="B236" s="2">
        <v>45660</v>
      </c>
      <c r="C236" s="1">
        <v>7.2</v>
      </c>
      <c r="D236" t="s">
        <v>29</v>
      </c>
    </row>
    <row r="237" spans="1:4" x14ac:dyDescent="0.25">
      <c r="A237" t="s">
        <v>128</v>
      </c>
      <c r="B237" s="2">
        <v>45681</v>
      </c>
      <c r="C237" s="1">
        <v>7.2</v>
      </c>
      <c r="D237" t="s">
        <v>29</v>
      </c>
    </row>
    <row r="238" spans="1:4" x14ac:dyDescent="0.25">
      <c r="A238" t="s">
        <v>109</v>
      </c>
      <c r="B238" s="2">
        <v>45659</v>
      </c>
      <c r="C238" s="1">
        <v>6</v>
      </c>
      <c r="D238" t="s">
        <v>29</v>
      </c>
    </row>
    <row r="239" spans="1:4" x14ac:dyDescent="0.25">
      <c r="A239" t="s">
        <v>93</v>
      </c>
      <c r="B239" s="2">
        <v>45660</v>
      </c>
      <c r="C239" s="1">
        <v>6</v>
      </c>
      <c r="D239" t="s">
        <v>29</v>
      </c>
    </row>
    <row r="240" spans="1:4" x14ac:dyDescent="0.25">
      <c r="A240" t="s">
        <v>115</v>
      </c>
      <c r="B240" s="2">
        <v>45681</v>
      </c>
      <c r="C240" s="1">
        <v>6</v>
      </c>
      <c r="D240" t="s">
        <v>29</v>
      </c>
    </row>
    <row r="241" spans="1:4" x14ac:dyDescent="0.25">
      <c r="A241" t="s">
        <v>135</v>
      </c>
      <c r="B241" s="2">
        <v>45659</v>
      </c>
      <c r="C241" s="1">
        <v>6</v>
      </c>
      <c r="D241" t="s">
        <v>29</v>
      </c>
    </row>
    <row r="242" spans="1:4" x14ac:dyDescent="0.25">
      <c r="A242" t="s">
        <v>130</v>
      </c>
      <c r="B242" s="2">
        <v>45660</v>
      </c>
      <c r="C242" s="1">
        <v>6</v>
      </c>
      <c r="D242" t="s">
        <v>29</v>
      </c>
    </row>
    <row r="243" spans="1:4" x14ac:dyDescent="0.25">
      <c r="A243" t="s">
        <v>76</v>
      </c>
      <c r="B243" s="2">
        <v>45661</v>
      </c>
      <c r="C243" s="1">
        <v>6</v>
      </c>
      <c r="D243" t="s">
        <v>29</v>
      </c>
    </row>
    <row r="244" spans="1:4" x14ac:dyDescent="0.25">
      <c r="A244" t="s">
        <v>149</v>
      </c>
      <c r="B244" s="2">
        <v>45664</v>
      </c>
      <c r="C244" s="1">
        <v>6</v>
      </c>
      <c r="D244" t="s">
        <v>29</v>
      </c>
    </row>
    <row r="245" spans="1:4" x14ac:dyDescent="0.25">
      <c r="A245" t="s">
        <v>76</v>
      </c>
      <c r="B245" s="2">
        <v>45668</v>
      </c>
      <c r="C245" s="1">
        <v>0.47</v>
      </c>
      <c r="D245" t="s">
        <v>29</v>
      </c>
    </row>
    <row r="246" spans="1:4" x14ac:dyDescent="0.25">
      <c r="A246" t="s">
        <v>129</v>
      </c>
      <c r="B246" s="2">
        <v>45687</v>
      </c>
      <c r="C246" s="1">
        <v>2.97</v>
      </c>
      <c r="D246" t="s">
        <v>29</v>
      </c>
    </row>
    <row r="247" spans="1:4" x14ac:dyDescent="0.25">
      <c r="A247" t="s">
        <v>114</v>
      </c>
      <c r="B247" s="2">
        <v>45659</v>
      </c>
      <c r="C247" s="1">
        <v>7.6</v>
      </c>
      <c r="D247" t="s">
        <v>29</v>
      </c>
    </row>
    <row r="248" spans="1:4" x14ac:dyDescent="0.25">
      <c r="A248" t="s">
        <v>84</v>
      </c>
      <c r="B248" s="2">
        <v>45660</v>
      </c>
      <c r="C248" s="1">
        <v>7.6</v>
      </c>
      <c r="D248" t="s">
        <v>29</v>
      </c>
    </row>
    <row r="249" spans="1:4" x14ac:dyDescent="0.25">
      <c r="A249" t="s">
        <v>99</v>
      </c>
      <c r="B249" s="2">
        <v>45659</v>
      </c>
      <c r="C249" s="1">
        <v>7.2</v>
      </c>
      <c r="D249" t="s">
        <v>29</v>
      </c>
    </row>
    <row r="250" spans="1:4" x14ac:dyDescent="0.25">
      <c r="A250" t="s">
        <v>132</v>
      </c>
      <c r="B250" s="2">
        <v>45660</v>
      </c>
      <c r="C250" s="1">
        <v>7.2</v>
      </c>
      <c r="D250" t="s">
        <v>29</v>
      </c>
    </row>
    <row r="251" spans="1:4" x14ac:dyDescent="0.25">
      <c r="A251" t="s">
        <v>122</v>
      </c>
      <c r="B251" s="2">
        <v>45665</v>
      </c>
      <c r="C251" s="1">
        <v>1.05</v>
      </c>
      <c r="D251" t="s">
        <v>29</v>
      </c>
    </row>
    <row r="252" spans="1:4" x14ac:dyDescent="0.25">
      <c r="A252" t="s">
        <v>67</v>
      </c>
      <c r="B252" s="2">
        <v>45666</v>
      </c>
      <c r="C252" s="1">
        <v>0.17</v>
      </c>
      <c r="D252" t="s">
        <v>29</v>
      </c>
    </row>
    <row r="253" spans="1:4" x14ac:dyDescent="0.25">
      <c r="A253" t="s">
        <v>145</v>
      </c>
      <c r="B253" s="2">
        <v>45670</v>
      </c>
      <c r="C253" s="1">
        <v>0.2</v>
      </c>
      <c r="D253" t="s">
        <v>29</v>
      </c>
    </row>
    <row r="254" spans="1:4" x14ac:dyDescent="0.25">
      <c r="A254" t="s">
        <v>112</v>
      </c>
      <c r="B254" s="2">
        <v>45677</v>
      </c>
      <c r="C254" s="1">
        <v>0.18</v>
      </c>
      <c r="D254" t="s">
        <v>29</v>
      </c>
    </row>
    <row r="255" spans="1:4" x14ac:dyDescent="0.25">
      <c r="A255" t="s">
        <v>139</v>
      </c>
      <c r="B255" s="2">
        <v>45678</v>
      </c>
      <c r="C255" s="1">
        <v>0.2</v>
      </c>
      <c r="D255" t="s">
        <v>29</v>
      </c>
    </row>
    <row r="256" spans="1:4" x14ac:dyDescent="0.25">
      <c r="A256" t="s">
        <v>122</v>
      </c>
      <c r="B256" s="2">
        <v>45684</v>
      </c>
      <c r="C256" s="1">
        <v>0.2</v>
      </c>
      <c r="D256" t="s">
        <v>29</v>
      </c>
    </row>
    <row r="257" spans="1:4" x14ac:dyDescent="0.25">
      <c r="A257" t="s">
        <v>68</v>
      </c>
      <c r="B257" s="2">
        <v>45685</v>
      </c>
      <c r="C257" s="1">
        <v>0.2</v>
      </c>
      <c r="D257" t="s">
        <v>29</v>
      </c>
    </row>
    <row r="258" spans="1:4" x14ac:dyDescent="0.25">
      <c r="A258" t="s">
        <v>74</v>
      </c>
      <c r="B258" s="2">
        <v>45659</v>
      </c>
      <c r="C258" s="1">
        <v>7.6</v>
      </c>
      <c r="D258" t="s">
        <v>29</v>
      </c>
    </row>
    <row r="259" spans="1:4" x14ac:dyDescent="0.25">
      <c r="A259" t="s">
        <v>75</v>
      </c>
      <c r="B259" s="2">
        <v>45660</v>
      </c>
      <c r="C259" s="1">
        <v>7.6</v>
      </c>
      <c r="D259" t="s">
        <v>29</v>
      </c>
    </row>
    <row r="260" spans="1:4" x14ac:dyDescent="0.25">
      <c r="A260" t="s">
        <v>98</v>
      </c>
      <c r="B260" s="2">
        <v>45659</v>
      </c>
      <c r="C260" s="1">
        <v>7.2</v>
      </c>
      <c r="D260" t="s">
        <v>29</v>
      </c>
    </row>
    <row r="261" spans="1:4" x14ac:dyDescent="0.25">
      <c r="A261" t="s">
        <v>70</v>
      </c>
      <c r="B261" s="2">
        <v>45660</v>
      </c>
      <c r="C261" s="1">
        <v>7.2</v>
      </c>
      <c r="D261" t="s">
        <v>29</v>
      </c>
    </row>
    <row r="262" spans="1:4" x14ac:dyDescent="0.25">
      <c r="A262" t="s">
        <v>138</v>
      </c>
      <c r="B262" s="2">
        <v>45681</v>
      </c>
      <c r="C262" s="1">
        <v>7.2</v>
      </c>
      <c r="D262" t="s">
        <v>29</v>
      </c>
    </row>
    <row r="263" spans="1:4" x14ac:dyDescent="0.25">
      <c r="A263" t="s">
        <v>119</v>
      </c>
      <c r="B263" s="2">
        <v>45659</v>
      </c>
      <c r="C263" s="1">
        <v>6</v>
      </c>
      <c r="D263" t="s">
        <v>29</v>
      </c>
    </row>
    <row r="264" spans="1:4" x14ac:dyDescent="0.25">
      <c r="A264" t="s">
        <v>135</v>
      </c>
      <c r="B264" s="2">
        <v>45660</v>
      </c>
      <c r="C264" s="1">
        <v>6</v>
      </c>
      <c r="D264" t="s">
        <v>29</v>
      </c>
    </row>
    <row r="265" spans="1:4" x14ac:dyDescent="0.25">
      <c r="A265" t="s">
        <v>124</v>
      </c>
      <c r="B265" s="2">
        <v>45661</v>
      </c>
      <c r="C265" s="1">
        <v>6</v>
      </c>
      <c r="D265" t="s">
        <v>29</v>
      </c>
    </row>
    <row r="266" spans="1:4" x14ac:dyDescent="0.25">
      <c r="A266" t="s">
        <v>65</v>
      </c>
      <c r="B266" s="2">
        <v>45659</v>
      </c>
      <c r="C266" s="1">
        <v>7.2</v>
      </c>
      <c r="D266" t="s">
        <v>29</v>
      </c>
    </row>
    <row r="267" spans="1:4" x14ac:dyDescent="0.25">
      <c r="A267" t="s">
        <v>98</v>
      </c>
      <c r="B267" s="2">
        <v>45660</v>
      </c>
      <c r="C267" s="1">
        <v>7.2</v>
      </c>
      <c r="D267" t="s">
        <v>29</v>
      </c>
    </row>
    <row r="268" spans="1:4" x14ac:dyDescent="0.25">
      <c r="A268" t="s">
        <v>125</v>
      </c>
      <c r="B268" s="2">
        <v>45667</v>
      </c>
      <c r="C268" s="1">
        <v>0.5</v>
      </c>
      <c r="D268" t="s">
        <v>29</v>
      </c>
    </row>
    <row r="269" spans="1:4" x14ac:dyDescent="0.25">
      <c r="A269" t="s">
        <v>132</v>
      </c>
      <c r="B269" s="2">
        <v>45671</v>
      </c>
      <c r="C269" s="1">
        <v>7.2</v>
      </c>
      <c r="D269" t="s">
        <v>29</v>
      </c>
    </row>
    <row r="270" spans="1:4" x14ac:dyDescent="0.25">
      <c r="A270" t="s">
        <v>77</v>
      </c>
      <c r="B270" s="2">
        <v>45688</v>
      </c>
      <c r="C270" s="1">
        <v>0.63</v>
      </c>
      <c r="D270" t="s">
        <v>29</v>
      </c>
    </row>
    <row r="271" spans="1:4" x14ac:dyDescent="0.25">
      <c r="A271" t="s">
        <v>129</v>
      </c>
      <c r="B271" s="2">
        <v>45659</v>
      </c>
      <c r="C271" s="1">
        <v>7.2</v>
      </c>
      <c r="D271" t="s">
        <v>29</v>
      </c>
    </row>
    <row r="272" spans="1:4" x14ac:dyDescent="0.25">
      <c r="A272" t="s">
        <v>130</v>
      </c>
      <c r="B272" s="2">
        <v>45660</v>
      </c>
      <c r="C272" s="1">
        <v>7.2</v>
      </c>
      <c r="D272" t="s">
        <v>29</v>
      </c>
    </row>
    <row r="273" spans="1:4" x14ac:dyDescent="0.25">
      <c r="A273" t="s">
        <v>82</v>
      </c>
      <c r="B273" s="2">
        <v>45664</v>
      </c>
      <c r="C273" s="1">
        <v>7.2</v>
      </c>
      <c r="D273" t="s">
        <v>29</v>
      </c>
    </row>
    <row r="274" spans="1:4" x14ac:dyDescent="0.25">
      <c r="A274" t="s">
        <v>88</v>
      </c>
      <c r="B274" s="2">
        <v>45665</v>
      </c>
      <c r="C274" s="1">
        <v>7.2</v>
      </c>
      <c r="D274" t="s">
        <v>29</v>
      </c>
    </row>
    <row r="275" spans="1:4" x14ac:dyDescent="0.25">
      <c r="A275" t="s">
        <v>143</v>
      </c>
      <c r="B275" s="2">
        <v>45666</v>
      </c>
      <c r="C275" s="1">
        <v>7.2</v>
      </c>
      <c r="D275" t="s">
        <v>29</v>
      </c>
    </row>
    <row r="276" spans="1:4" x14ac:dyDescent="0.25">
      <c r="A276" t="s">
        <v>104</v>
      </c>
      <c r="B276" s="2">
        <v>45667</v>
      </c>
      <c r="C276" s="1">
        <v>7.2</v>
      </c>
      <c r="D276" t="s">
        <v>29</v>
      </c>
    </row>
    <row r="277" spans="1:4" x14ac:dyDescent="0.25">
      <c r="A277" t="s">
        <v>98</v>
      </c>
      <c r="B277" s="2">
        <v>45670</v>
      </c>
      <c r="C277" s="1">
        <v>7.2</v>
      </c>
      <c r="D277" t="s">
        <v>29</v>
      </c>
    </row>
    <row r="278" spans="1:4" x14ac:dyDescent="0.25">
      <c r="A278" t="s">
        <v>110</v>
      </c>
      <c r="B278" s="2">
        <v>45671</v>
      </c>
      <c r="C278" s="1">
        <v>7.2</v>
      </c>
      <c r="D278" t="s">
        <v>29</v>
      </c>
    </row>
    <row r="279" spans="1:4" x14ac:dyDescent="0.25">
      <c r="A279" t="s">
        <v>65</v>
      </c>
      <c r="B279" s="2">
        <v>45672</v>
      </c>
      <c r="C279" s="1">
        <v>7.2</v>
      </c>
      <c r="D279" t="s">
        <v>29</v>
      </c>
    </row>
    <row r="280" spans="1:4" x14ac:dyDescent="0.25">
      <c r="A280" t="s">
        <v>83</v>
      </c>
      <c r="B280" s="2">
        <v>45673</v>
      </c>
      <c r="C280" s="1">
        <v>7.2</v>
      </c>
      <c r="D280" t="s">
        <v>29</v>
      </c>
    </row>
    <row r="281" spans="1:4" x14ac:dyDescent="0.25">
      <c r="A281" t="s">
        <v>85</v>
      </c>
      <c r="B281" s="2">
        <v>45674</v>
      </c>
      <c r="C281" s="1">
        <v>7.2</v>
      </c>
      <c r="D281" t="s">
        <v>29</v>
      </c>
    </row>
    <row r="282" spans="1:4" x14ac:dyDescent="0.25">
      <c r="A282" t="s">
        <v>97</v>
      </c>
      <c r="B282" s="2">
        <v>45677</v>
      </c>
      <c r="C282" s="1">
        <v>7.2</v>
      </c>
      <c r="D282" t="s">
        <v>29</v>
      </c>
    </row>
    <row r="283" spans="1:4" x14ac:dyDescent="0.25">
      <c r="A283" t="s">
        <v>81</v>
      </c>
      <c r="B283" s="2">
        <v>45678</v>
      </c>
      <c r="C283" s="1">
        <v>7.2</v>
      </c>
      <c r="D283" t="s">
        <v>29</v>
      </c>
    </row>
    <row r="284" spans="1:4" x14ac:dyDescent="0.25">
      <c r="A284" t="s">
        <v>118</v>
      </c>
      <c r="B284" s="2">
        <v>45679</v>
      </c>
      <c r="C284" s="1">
        <v>7.2</v>
      </c>
      <c r="D284" t="s">
        <v>29</v>
      </c>
    </row>
    <row r="285" spans="1:4" x14ac:dyDescent="0.25">
      <c r="A285" t="s">
        <v>112</v>
      </c>
      <c r="B285" s="2">
        <v>45680</v>
      </c>
      <c r="C285" s="1">
        <v>7.2</v>
      </c>
      <c r="D285" t="s">
        <v>29</v>
      </c>
    </row>
    <row r="286" spans="1:4" x14ac:dyDescent="0.25">
      <c r="A286" t="s">
        <v>104</v>
      </c>
      <c r="B286" s="2">
        <v>45659</v>
      </c>
      <c r="C286" s="1">
        <v>7</v>
      </c>
      <c r="D286" t="s">
        <v>29</v>
      </c>
    </row>
    <row r="287" spans="1:4" x14ac:dyDescent="0.25">
      <c r="A287" t="s">
        <v>83</v>
      </c>
      <c r="B287" s="2">
        <v>45660</v>
      </c>
      <c r="C287" s="1">
        <v>7</v>
      </c>
      <c r="D287" t="s">
        <v>29</v>
      </c>
    </row>
    <row r="288" spans="1:4" x14ac:dyDescent="0.25">
      <c r="A288" t="s">
        <v>118</v>
      </c>
      <c r="B288" s="2">
        <v>45659</v>
      </c>
      <c r="C288" s="1">
        <v>7.2</v>
      </c>
      <c r="D288" t="s">
        <v>29</v>
      </c>
    </row>
    <row r="289" spans="1:4" x14ac:dyDescent="0.25">
      <c r="A289" t="s">
        <v>102</v>
      </c>
      <c r="B289" s="2">
        <v>45660</v>
      </c>
      <c r="C289" s="1">
        <v>7.2</v>
      </c>
      <c r="D289" t="s">
        <v>29</v>
      </c>
    </row>
    <row r="290" spans="1:4" x14ac:dyDescent="0.25">
      <c r="A290" t="s">
        <v>65</v>
      </c>
      <c r="B290" s="2">
        <v>45664</v>
      </c>
      <c r="C290" s="1">
        <v>7.2</v>
      </c>
      <c r="D290" t="s">
        <v>29</v>
      </c>
    </row>
    <row r="291" spans="1:4" x14ac:dyDescent="0.25">
      <c r="A291" t="s">
        <v>149</v>
      </c>
      <c r="B291" s="2">
        <v>45677</v>
      </c>
      <c r="C291" s="1">
        <v>7.2</v>
      </c>
      <c r="D291" t="s">
        <v>29</v>
      </c>
    </row>
    <row r="292" spans="1:4" x14ac:dyDescent="0.25">
      <c r="A292" t="s">
        <v>102</v>
      </c>
      <c r="B292" s="2">
        <v>45659</v>
      </c>
      <c r="C292" s="1">
        <v>8.5</v>
      </c>
      <c r="D292" t="s">
        <v>29</v>
      </c>
    </row>
    <row r="293" spans="1:4" x14ac:dyDescent="0.25">
      <c r="A293" t="s">
        <v>120</v>
      </c>
      <c r="B293" s="2">
        <v>45660</v>
      </c>
      <c r="C293" s="1">
        <v>5.25</v>
      </c>
      <c r="D293" t="s">
        <v>29</v>
      </c>
    </row>
    <row r="294" spans="1:4" x14ac:dyDescent="0.25">
      <c r="A294" t="s">
        <v>118</v>
      </c>
      <c r="B294" s="2">
        <v>45665</v>
      </c>
      <c r="C294" s="1">
        <v>2.87</v>
      </c>
      <c r="D294" t="s">
        <v>29</v>
      </c>
    </row>
    <row r="295" spans="1:4" x14ac:dyDescent="0.25">
      <c r="A295" t="s">
        <v>149</v>
      </c>
      <c r="B295" s="2">
        <v>45671</v>
      </c>
      <c r="C295" s="1">
        <v>0.38</v>
      </c>
      <c r="D295" t="s">
        <v>29</v>
      </c>
    </row>
    <row r="296" spans="1:4" x14ac:dyDescent="0.25">
      <c r="A296" t="s">
        <v>125</v>
      </c>
      <c r="B296" s="2">
        <v>45673</v>
      </c>
      <c r="C296" s="1">
        <v>0.5</v>
      </c>
      <c r="D296" t="s">
        <v>29</v>
      </c>
    </row>
    <row r="297" spans="1:4" x14ac:dyDescent="0.25">
      <c r="A297" t="s">
        <v>70</v>
      </c>
      <c r="B297" s="2">
        <v>45678</v>
      </c>
      <c r="C297" s="1">
        <v>8.5</v>
      </c>
      <c r="D297" t="s">
        <v>29</v>
      </c>
    </row>
    <row r="298" spans="1:4" x14ac:dyDescent="0.25">
      <c r="A298" t="s">
        <v>92</v>
      </c>
      <c r="B298" s="2">
        <v>45681</v>
      </c>
      <c r="C298" s="1">
        <v>0.57999999999999996</v>
      </c>
      <c r="D298" t="s">
        <v>29</v>
      </c>
    </row>
    <row r="299" spans="1:4" x14ac:dyDescent="0.25">
      <c r="A299" t="s">
        <v>102</v>
      </c>
      <c r="B299" s="2">
        <v>45664</v>
      </c>
      <c r="C299" s="1">
        <v>6</v>
      </c>
      <c r="D299" t="s">
        <v>29</v>
      </c>
    </row>
    <row r="300" spans="1:4" x14ac:dyDescent="0.25">
      <c r="A300" t="s">
        <v>87</v>
      </c>
      <c r="B300" s="2">
        <v>45665</v>
      </c>
      <c r="C300" s="1">
        <v>6</v>
      </c>
      <c r="D300" t="s">
        <v>29</v>
      </c>
    </row>
    <row r="301" spans="1:4" x14ac:dyDescent="0.25">
      <c r="A301" t="s">
        <v>102</v>
      </c>
      <c r="B301" s="2">
        <v>45670</v>
      </c>
      <c r="C301" s="1">
        <v>6</v>
      </c>
      <c r="D301" t="s">
        <v>29</v>
      </c>
    </row>
    <row r="302" spans="1:4" x14ac:dyDescent="0.25">
      <c r="A302" t="s">
        <v>68</v>
      </c>
      <c r="B302" s="2">
        <v>45659</v>
      </c>
      <c r="C302" s="1">
        <v>7.2</v>
      </c>
      <c r="D302" t="s">
        <v>29</v>
      </c>
    </row>
    <row r="303" spans="1:4" x14ac:dyDescent="0.25">
      <c r="A303" t="s">
        <v>114</v>
      </c>
      <c r="B303" s="2">
        <v>45660</v>
      </c>
      <c r="C303" s="1">
        <v>7.2</v>
      </c>
      <c r="D303" t="s">
        <v>29</v>
      </c>
    </row>
    <row r="304" spans="1:4" x14ac:dyDescent="0.25">
      <c r="A304" t="s">
        <v>122</v>
      </c>
      <c r="B304" s="2">
        <v>45659</v>
      </c>
      <c r="C304" s="1">
        <v>6</v>
      </c>
      <c r="D304" t="s">
        <v>29</v>
      </c>
    </row>
    <row r="305" spans="1:4" x14ac:dyDescent="0.25">
      <c r="A305" t="s">
        <v>149</v>
      </c>
      <c r="B305" s="2">
        <v>45660</v>
      </c>
      <c r="C305" s="1">
        <v>6</v>
      </c>
      <c r="D305" t="s">
        <v>29</v>
      </c>
    </row>
    <row r="306" spans="1:4" x14ac:dyDescent="0.25">
      <c r="A306" t="s">
        <v>84</v>
      </c>
      <c r="B306" s="2">
        <v>45659</v>
      </c>
      <c r="C306" s="1">
        <v>7.6</v>
      </c>
      <c r="D306" t="s">
        <v>29</v>
      </c>
    </row>
    <row r="307" spans="1:4" x14ac:dyDescent="0.25">
      <c r="A307" t="s">
        <v>99</v>
      </c>
      <c r="B307" s="2">
        <v>45659</v>
      </c>
      <c r="C307" s="1">
        <v>7.75</v>
      </c>
      <c r="D307" t="s">
        <v>29</v>
      </c>
    </row>
    <row r="308" spans="1:4" x14ac:dyDescent="0.25">
      <c r="A308" t="s">
        <v>131</v>
      </c>
      <c r="B308" s="2">
        <v>45660</v>
      </c>
      <c r="C308" s="1">
        <v>7.75</v>
      </c>
      <c r="D308" t="s">
        <v>29</v>
      </c>
    </row>
    <row r="309" spans="1:4" x14ac:dyDescent="0.25">
      <c r="A309" t="s">
        <v>91</v>
      </c>
      <c r="B309" s="2">
        <v>45681</v>
      </c>
      <c r="C309" s="1">
        <v>3.18</v>
      </c>
      <c r="D309" t="s">
        <v>29</v>
      </c>
    </row>
    <row r="310" spans="1:4" x14ac:dyDescent="0.25">
      <c r="A310" t="s">
        <v>140</v>
      </c>
      <c r="B310" s="2">
        <v>45659</v>
      </c>
      <c r="C310" s="1">
        <v>7.6</v>
      </c>
      <c r="D310" t="s">
        <v>29</v>
      </c>
    </row>
    <row r="311" spans="1:4" x14ac:dyDescent="0.25">
      <c r="A311" t="s">
        <v>126</v>
      </c>
      <c r="B311" s="2">
        <v>45660</v>
      </c>
      <c r="C311" s="1">
        <v>7.6</v>
      </c>
      <c r="D311" t="s">
        <v>29</v>
      </c>
    </row>
    <row r="312" spans="1:4" x14ac:dyDescent="0.25">
      <c r="A312" t="s">
        <v>68</v>
      </c>
      <c r="B312" s="2">
        <v>45674</v>
      </c>
      <c r="C312" s="1">
        <v>7.6</v>
      </c>
      <c r="D312" t="s">
        <v>29</v>
      </c>
    </row>
    <row r="313" spans="1:4" x14ac:dyDescent="0.25">
      <c r="A313" t="s">
        <v>100</v>
      </c>
      <c r="B313" s="2">
        <v>45659</v>
      </c>
      <c r="C313" s="1">
        <v>6</v>
      </c>
      <c r="D313" t="s">
        <v>29</v>
      </c>
    </row>
    <row r="314" spans="1:4" x14ac:dyDescent="0.25">
      <c r="A314" t="s">
        <v>102</v>
      </c>
      <c r="B314" s="2">
        <v>45660</v>
      </c>
      <c r="C314" s="1">
        <v>6</v>
      </c>
      <c r="D314" t="s">
        <v>29</v>
      </c>
    </row>
    <row r="315" spans="1:4" x14ac:dyDescent="0.25">
      <c r="A315" t="s">
        <v>98</v>
      </c>
      <c r="B315" s="2">
        <v>45661</v>
      </c>
      <c r="C315" s="1">
        <v>6</v>
      </c>
      <c r="D315" t="s">
        <v>29</v>
      </c>
    </row>
    <row r="316" spans="1:4" x14ac:dyDescent="0.25">
      <c r="A316" t="s">
        <v>142</v>
      </c>
      <c r="B316" s="2">
        <v>45659</v>
      </c>
      <c r="C316" s="1">
        <v>7.2</v>
      </c>
      <c r="D316" t="s">
        <v>29</v>
      </c>
    </row>
    <row r="317" spans="1:4" x14ac:dyDescent="0.25">
      <c r="A317" t="s">
        <v>143</v>
      </c>
      <c r="B317" s="2">
        <v>45660</v>
      </c>
      <c r="C317" s="1">
        <v>7.2</v>
      </c>
      <c r="D317" t="s">
        <v>29</v>
      </c>
    </row>
    <row r="318" spans="1:4" x14ac:dyDescent="0.25">
      <c r="A318" t="s">
        <v>95</v>
      </c>
      <c r="B318" s="2">
        <v>45673</v>
      </c>
      <c r="C318" s="1">
        <v>0.45</v>
      </c>
      <c r="D318" t="s">
        <v>29</v>
      </c>
    </row>
    <row r="319" spans="1:4" x14ac:dyDescent="0.25">
      <c r="A319" t="s">
        <v>102</v>
      </c>
      <c r="B319" s="2">
        <v>45674</v>
      </c>
      <c r="C319" s="1">
        <v>1.52</v>
      </c>
      <c r="D319" t="s">
        <v>29</v>
      </c>
    </row>
    <row r="320" spans="1:4" x14ac:dyDescent="0.25">
      <c r="A320" t="s">
        <v>92</v>
      </c>
      <c r="B320" s="2">
        <v>45685</v>
      </c>
      <c r="C320" s="1">
        <v>2.2000000000000002</v>
      </c>
      <c r="D320" t="s">
        <v>29</v>
      </c>
    </row>
    <row r="321" spans="1:4" x14ac:dyDescent="0.25">
      <c r="A321" t="s">
        <v>143</v>
      </c>
      <c r="B321" s="2">
        <v>45659</v>
      </c>
      <c r="C321" s="1">
        <v>0.95</v>
      </c>
      <c r="D321" t="s">
        <v>29</v>
      </c>
    </row>
    <row r="322" spans="1:4" x14ac:dyDescent="0.25">
      <c r="A322" t="s">
        <v>99</v>
      </c>
      <c r="B322" s="2">
        <v>45660</v>
      </c>
      <c r="C322" s="1">
        <v>7.2</v>
      </c>
      <c r="D322" t="s">
        <v>29</v>
      </c>
    </row>
    <row r="323" spans="1:4" x14ac:dyDescent="0.25">
      <c r="A323" t="s">
        <v>81</v>
      </c>
      <c r="B323" s="2">
        <v>45673</v>
      </c>
      <c r="C323" s="1">
        <v>1.1299999999999999</v>
      </c>
      <c r="D323" t="s">
        <v>29</v>
      </c>
    </row>
    <row r="324" spans="1:4" x14ac:dyDescent="0.25">
      <c r="A324" t="s">
        <v>82</v>
      </c>
      <c r="B324" s="2">
        <v>45680</v>
      </c>
      <c r="C324" s="1">
        <v>0.95</v>
      </c>
      <c r="D324" t="s">
        <v>29</v>
      </c>
    </row>
    <row r="325" spans="1:4" x14ac:dyDescent="0.25">
      <c r="A325" t="s">
        <v>137</v>
      </c>
      <c r="B325" s="2">
        <v>45659</v>
      </c>
      <c r="C325" s="1">
        <v>7.2</v>
      </c>
      <c r="D325" t="s">
        <v>29</v>
      </c>
    </row>
    <row r="326" spans="1:4" x14ac:dyDescent="0.25">
      <c r="A326" t="s">
        <v>100</v>
      </c>
      <c r="B326" s="2">
        <v>45660</v>
      </c>
      <c r="C326" s="1">
        <v>7.2</v>
      </c>
      <c r="D326" t="s">
        <v>29</v>
      </c>
    </row>
    <row r="327" spans="1:4" x14ac:dyDescent="0.25">
      <c r="A327" t="s">
        <v>68</v>
      </c>
      <c r="B327" s="2">
        <v>45671</v>
      </c>
      <c r="C327" s="1">
        <v>7.2</v>
      </c>
      <c r="D327" t="s">
        <v>29</v>
      </c>
    </row>
    <row r="328" spans="1:4" x14ac:dyDescent="0.25">
      <c r="A328" t="s">
        <v>103</v>
      </c>
      <c r="B328" s="2">
        <v>45659</v>
      </c>
      <c r="C328" s="1">
        <v>7.2</v>
      </c>
      <c r="D328" t="s">
        <v>29</v>
      </c>
    </row>
    <row r="329" spans="1:4" x14ac:dyDescent="0.25">
      <c r="A329" t="s">
        <v>110</v>
      </c>
      <c r="B329" s="2">
        <v>45660</v>
      </c>
      <c r="C329" s="1">
        <v>7.2</v>
      </c>
      <c r="D329" t="s">
        <v>29</v>
      </c>
    </row>
    <row r="330" spans="1:4" x14ac:dyDescent="0.25">
      <c r="A330" t="s">
        <v>96</v>
      </c>
      <c r="B330" s="2">
        <v>45661</v>
      </c>
      <c r="C330" s="1">
        <v>7.2</v>
      </c>
      <c r="D330" t="s">
        <v>29</v>
      </c>
    </row>
    <row r="331" spans="1:4" x14ac:dyDescent="0.25">
      <c r="A331" t="s">
        <v>134</v>
      </c>
      <c r="B331" s="2">
        <v>45668</v>
      </c>
      <c r="C331" s="1">
        <v>0.32</v>
      </c>
      <c r="D331" t="s">
        <v>29</v>
      </c>
    </row>
    <row r="332" spans="1:4" x14ac:dyDescent="0.25">
      <c r="A332" t="s">
        <v>72</v>
      </c>
      <c r="B332" s="2">
        <v>45675</v>
      </c>
      <c r="C332" s="1">
        <v>0.5</v>
      </c>
      <c r="D332" t="s">
        <v>29</v>
      </c>
    </row>
    <row r="333" spans="1:4" x14ac:dyDescent="0.25">
      <c r="A333" t="s">
        <v>147</v>
      </c>
      <c r="B333" s="2">
        <v>45682</v>
      </c>
      <c r="C333" s="1">
        <v>0.73</v>
      </c>
      <c r="D333" t="s">
        <v>29</v>
      </c>
    </row>
    <row r="334" spans="1:4" x14ac:dyDescent="0.25">
      <c r="A334" t="s">
        <v>65</v>
      </c>
      <c r="B334" s="2">
        <v>45660</v>
      </c>
      <c r="C334" s="1">
        <v>6</v>
      </c>
      <c r="D334" t="s">
        <v>29</v>
      </c>
    </row>
    <row r="335" spans="1:4" x14ac:dyDescent="0.25">
      <c r="A335" t="s">
        <v>69</v>
      </c>
      <c r="B335" s="2">
        <v>45661</v>
      </c>
      <c r="C335" s="1">
        <v>6</v>
      </c>
      <c r="D335" t="s">
        <v>29</v>
      </c>
    </row>
    <row r="336" spans="1:4" x14ac:dyDescent="0.25">
      <c r="A336" t="s">
        <v>133</v>
      </c>
      <c r="B336" s="2">
        <v>45673</v>
      </c>
      <c r="C336" s="1">
        <v>1</v>
      </c>
      <c r="D336" t="s">
        <v>29</v>
      </c>
    </row>
    <row r="337" spans="1:4" x14ac:dyDescent="0.25">
      <c r="A337" t="s">
        <v>129</v>
      </c>
      <c r="B337" s="2">
        <v>45659</v>
      </c>
      <c r="C337" s="1">
        <v>7.2</v>
      </c>
      <c r="D337" t="s">
        <v>29</v>
      </c>
    </row>
    <row r="338" spans="1:4" x14ac:dyDescent="0.25">
      <c r="A338" t="s">
        <v>85</v>
      </c>
      <c r="B338" s="2">
        <v>45660</v>
      </c>
      <c r="C338" s="1">
        <v>7.2</v>
      </c>
      <c r="D338" t="s">
        <v>29</v>
      </c>
    </row>
    <row r="339" spans="1:4" x14ac:dyDescent="0.25">
      <c r="A339" t="s">
        <v>138</v>
      </c>
      <c r="B339" s="2">
        <v>45667</v>
      </c>
      <c r="C339" s="1">
        <v>7.2</v>
      </c>
      <c r="D339" t="s">
        <v>29</v>
      </c>
    </row>
    <row r="340" spans="1:4" x14ac:dyDescent="0.25">
      <c r="A340" t="s">
        <v>133</v>
      </c>
      <c r="B340" s="2">
        <v>45684</v>
      </c>
      <c r="C340" s="1">
        <v>7.2</v>
      </c>
      <c r="D340" t="s">
        <v>29</v>
      </c>
    </row>
    <row r="341" spans="1:4" x14ac:dyDescent="0.25">
      <c r="A341" t="s">
        <v>138</v>
      </c>
      <c r="B341" s="2">
        <v>45659</v>
      </c>
      <c r="C341" s="1">
        <v>7.2</v>
      </c>
      <c r="D341" t="s">
        <v>29</v>
      </c>
    </row>
    <row r="342" spans="1:4" x14ac:dyDescent="0.25">
      <c r="A342" t="s">
        <v>80</v>
      </c>
      <c r="B342" s="2">
        <v>45660</v>
      </c>
      <c r="C342" s="1">
        <v>7.2</v>
      </c>
      <c r="D342" t="s">
        <v>29</v>
      </c>
    </row>
    <row r="343" spans="1:4" x14ac:dyDescent="0.25">
      <c r="A343" t="s">
        <v>138</v>
      </c>
      <c r="B343" s="2">
        <v>45661</v>
      </c>
      <c r="C343" s="1">
        <v>6</v>
      </c>
      <c r="D343" t="s">
        <v>29</v>
      </c>
    </row>
    <row r="344" spans="1:4" x14ac:dyDescent="0.25">
      <c r="A344" t="s">
        <v>102</v>
      </c>
      <c r="B344" s="2">
        <v>45659</v>
      </c>
      <c r="C344" s="1">
        <v>7.2</v>
      </c>
      <c r="D344" t="s">
        <v>29</v>
      </c>
    </row>
    <row r="345" spans="1:4" x14ac:dyDescent="0.25">
      <c r="A345" t="s">
        <v>80</v>
      </c>
      <c r="B345" s="2">
        <v>45660</v>
      </c>
      <c r="C345" s="1">
        <v>7.2</v>
      </c>
      <c r="D345" t="s">
        <v>29</v>
      </c>
    </row>
    <row r="346" spans="1:4" x14ac:dyDescent="0.25">
      <c r="A346" t="s">
        <v>100</v>
      </c>
      <c r="B346" s="2">
        <v>45659</v>
      </c>
      <c r="C346" s="1">
        <v>7.6</v>
      </c>
      <c r="D346" t="s">
        <v>29</v>
      </c>
    </row>
    <row r="347" spans="1:4" x14ac:dyDescent="0.25">
      <c r="A347" t="s">
        <v>98</v>
      </c>
      <c r="B347" s="2">
        <v>45660</v>
      </c>
      <c r="C347" s="1">
        <v>7.6</v>
      </c>
      <c r="D347" t="s">
        <v>29</v>
      </c>
    </row>
    <row r="348" spans="1:4" x14ac:dyDescent="0.25">
      <c r="A348" t="s">
        <v>84</v>
      </c>
      <c r="B348" s="2">
        <v>45659</v>
      </c>
      <c r="C348" s="1">
        <v>7.6</v>
      </c>
      <c r="D348" t="s">
        <v>29</v>
      </c>
    </row>
    <row r="349" spans="1:4" x14ac:dyDescent="0.25">
      <c r="A349" t="s">
        <v>68</v>
      </c>
      <c r="B349" s="2">
        <v>45660</v>
      </c>
      <c r="C349" s="1">
        <v>7.6</v>
      </c>
      <c r="D349" t="s">
        <v>29</v>
      </c>
    </row>
    <row r="350" spans="1:4" x14ac:dyDescent="0.25">
      <c r="A350" t="s">
        <v>121</v>
      </c>
      <c r="B350" s="2">
        <v>45686</v>
      </c>
      <c r="C350" s="1">
        <v>7.6</v>
      </c>
      <c r="D350" t="s">
        <v>29</v>
      </c>
    </row>
    <row r="351" spans="1:4" x14ac:dyDescent="0.25">
      <c r="A351" t="s">
        <v>119</v>
      </c>
      <c r="B351" s="2">
        <v>45687</v>
      </c>
      <c r="C351" s="1">
        <v>7.6</v>
      </c>
      <c r="D351" t="s">
        <v>29</v>
      </c>
    </row>
    <row r="352" spans="1:4" x14ac:dyDescent="0.25">
      <c r="A352" t="s">
        <v>91</v>
      </c>
      <c r="B352" s="2">
        <v>45688</v>
      </c>
      <c r="C352" s="1">
        <v>7.6</v>
      </c>
      <c r="D352" t="s">
        <v>29</v>
      </c>
    </row>
    <row r="353" spans="1:4" x14ac:dyDescent="0.25">
      <c r="A353" t="s">
        <v>125</v>
      </c>
      <c r="B353" s="2">
        <v>45659</v>
      </c>
      <c r="C353" s="1">
        <v>6</v>
      </c>
      <c r="D353" t="s">
        <v>29</v>
      </c>
    </row>
    <row r="354" spans="1:4" x14ac:dyDescent="0.25">
      <c r="A354" t="s">
        <v>99</v>
      </c>
      <c r="B354" s="2">
        <v>45660</v>
      </c>
      <c r="C354" s="1">
        <v>6</v>
      </c>
      <c r="D354" t="s">
        <v>29</v>
      </c>
    </row>
    <row r="355" spans="1:4" x14ac:dyDescent="0.25">
      <c r="A355" t="s">
        <v>140</v>
      </c>
      <c r="B355" s="2">
        <v>45661</v>
      </c>
      <c r="C355" s="1">
        <v>6</v>
      </c>
      <c r="D355" t="s">
        <v>29</v>
      </c>
    </row>
    <row r="356" spans="1:4" x14ac:dyDescent="0.25">
      <c r="A356" t="s">
        <v>133</v>
      </c>
      <c r="B356" s="2">
        <v>45664</v>
      </c>
      <c r="C356" s="1">
        <v>6</v>
      </c>
      <c r="D356" t="s">
        <v>29</v>
      </c>
    </row>
    <row r="357" spans="1:4" x14ac:dyDescent="0.25">
      <c r="A357" t="s">
        <v>148</v>
      </c>
      <c r="B357" s="2">
        <v>45659</v>
      </c>
      <c r="C357" s="1">
        <v>6</v>
      </c>
      <c r="D357" t="s">
        <v>29</v>
      </c>
    </row>
    <row r="358" spans="1:4" x14ac:dyDescent="0.25">
      <c r="A358" t="s">
        <v>132</v>
      </c>
      <c r="B358" s="2">
        <v>45660</v>
      </c>
      <c r="C358" s="1">
        <v>6</v>
      </c>
      <c r="D358" t="s">
        <v>29</v>
      </c>
    </row>
    <row r="359" spans="1:4" x14ac:dyDescent="0.25">
      <c r="A359" t="s">
        <v>106</v>
      </c>
      <c r="B359" s="2">
        <v>45661</v>
      </c>
      <c r="C359" s="1">
        <v>6</v>
      </c>
      <c r="D359" t="s">
        <v>29</v>
      </c>
    </row>
    <row r="360" spans="1:4" x14ac:dyDescent="0.25">
      <c r="A360" t="s">
        <v>110</v>
      </c>
      <c r="B360" s="2">
        <v>45664</v>
      </c>
      <c r="C360" s="1">
        <v>6</v>
      </c>
      <c r="D360" t="s">
        <v>29</v>
      </c>
    </row>
    <row r="361" spans="1:4" x14ac:dyDescent="0.25">
      <c r="A361" t="s">
        <v>84</v>
      </c>
      <c r="B361" s="2">
        <v>45688</v>
      </c>
      <c r="C361" s="1">
        <v>6</v>
      </c>
      <c r="D361" t="s">
        <v>29</v>
      </c>
    </row>
    <row r="362" spans="1:4" x14ac:dyDescent="0.25">
      <c r="A362" t="s">
        <v>110</v>
      </c>
      <c r="B362" s="2">
        <v>45659</v>
      </c>
      <c r="C362" s="1">
        <v>7.2</v>
      </c>
      <c r="D362" t="s">
        <v>29</v>
      </c>
    </row>
    <row r="363" spans="1:4" x14ac:dyDescent="0.25">
      <c r="A363" t="s">
        <v>99</v>
      </c>
      <c r="B363" s="2">
        <v>45660</v>
      </c>
      <c r="C363" s="1">
        <v>7.2</v>
      </c>
      <c r="D363" t="s">
        <v>29</v>
      </c>
    </row>
    <row r="364" spans="1:4" x14ac:dyDescent="0.25">
      <c r="A364" t="s">
        <v>68</v>
      </c>
      <c r="B364" s="2">
        <v>45664</v>
      </c>
      <c r="C364" s="1">
        <v>7.2</v>
      </c>
      <c r="D364" t="s">
        <v>29</v>
      </c>
    </row>
    <row r="365" spans="1:4" x14ac:dyDescent="0.25">
      <c r="A365" t="s">
        <v>85</v>
      </c>
      <c r="B365" s="2">
        <v>45685</v>
      </c>
      <c r="C365" s="1">
        <v>7.2</v>
      </c>
      <c r="D365" t="s">
        <v>29</v>
      </c>
    </row>
    <row r="366" spans="1:4" x14ac:dyDescent="0.25">
      <c r="A366" t="s">
        <v>140</v>
      </c>
      <c r="B366" s="2">
        <v>45686</v>
      </c>
      <c r="C366" s="1">
        <v>0.6</v>
      </c>
      <c r="D366" t="s">
        <v>29</v>
      </c>
    </row>
    <row r="367" spans="1:4" x14ac:dyDescent="0.25">
      <c r="A367" t="s">
        <v>72</v>
      </c>
      <c r="B367" s="2">
        <v>45659</v>
      </c>
      <c r="C367" s="1">
        <v>6</v>
      </c>
      <c r="D367" t="s">
        <v>29</v>
      </c>
    </row>
    <row r="368" spans="1:4" x14ac:dyDescent="0.25">
      <c r="A368" t="s">
        <v>115</v>
      </c>
      <c r="B368" s="2">
        <v>45660</v>
      </c>
      <c r="C368" s="1">
        <v>6</v>
      </c>
      <c r="D368" t="s">
        <v>29</v>
      </c>
    </row>
    <row r="369" spans="1:4" x14ac:dyDescent="0.25">
      <c r="A369" t="s">
        <v>68</v>
      </c>
      <c r="B369" s="2">
        <v>45659</v>
      </c>
      <c r="C369" s="1">
        <v>7.2</v>
      </c>
      <c r="D369" t="s">
        <v>29</v>
      </c>
    </row>
    <row r="370" spans="1:4" x14ac:dyDescent="0.25">
      <c r="A370" t="s">
        <v>138</v>
      </c>
      <c r="B370" s="2">
        <v>45660</v>
      </c>
      <c r="C370" s="1">
        <v>7.2</v>
      </c>
      <c r="D370" t="s">
        <v>29</v>
      </c>
    </row>
    <row r="371" spans="1:4" x14ac:dyDescent="0.25">
      <c r="A371" t="s">
        <v>102</v>
      </c>
      <c r="B371" s="2">
        <v>45659</v>
      </c>
      <c r="C371" s="1">
        <v>7.2</v>
      </c>
      <c r="D371" t="s">
        <v>29</v>
      </c>
    </row>
    <row r="372" spans="1:4" x14ac:dyDescent="0.25">
      <c r="A372" t="s">
        <v>136</v>
      </c>
      <c r="B372" s="2">
        <v>45674</v>
      </c>
      <c r="C372" s="1">
        <v>0.48</v>
      </c>
      <c r="D372" t="s">
        <v>29</v>
      </c>
    </row>
    <row r="373" spans="1:4" x14ac:dyDescent="0.25">
      <c r="A373" t="s">
        <v>93</v>
      </c>
      <c r="B373" s="2">
        <v>45659</v>
      </c>
      <c r="C373" s="1">
        <v>7.2</v>
      </c>
      <c r="D373" t="s">
        <v>29</v>
      </c>
    </row>
    <row r="374" spans="1:4" x14ac:dyDescent="0.25">
      <c r="A374" t="s">
        <v>135</v>
      </c>
      <c r="B374" s="2">
        <v>45660</v>
      </c>
      <c r="C374" s="1">
        <v>7.2</v>
      </c>
      <c r="D374" t="s">
        <v>29</v>
      </c>
    </row>
    <row r="375" spans="1:4" x14ac:dyDescent="0.25">
      <c r="A375" t="s">
        <v>139</v>
      </c>
      <c r="B375" s="2">
        <v>45659</v>
      </c>
      <c r="C375" s="1">
        <v>6</v>
      </c>
      <c r="D375" t="s">
        <v>29</v>
      </c>
    </row>
    <row r="376" spans="1:4" x14ac:dyDescent="0.25">
      <c r="A376" t="s">
        <v>146</v>
      </c>
      <c r="B376" s="2">
        <v>45660</v>
      </c>
      <c r="C376" s="1">
        <v>6</v>
      </c>
      <c r="D376" t="s">
        <v>29</v>
      </c>
    </row>
    <row r="377" spans="1:4" x14ac:dyDescent="0.25">
      <c r="A377" t="s">
        <v>93</v>
      </c>
      <c r="B377" s="2">
        <v>45661</v>
      </c>
      <c r="C377" s="1">
        <v>6</v>
      </c>
      <c r="D377" t="s">
        <v>29</v>
      </c>
    </row>
    <row r="378" spans="1:4" x14ac:dyDescent="0.25">
      <c r="A378" t="s">
        <v>127</v>
      </c>
      <c r="B378" s="2">
        <v>45688</v>
      </c>
      <c r="C378" s="1">
        <v>0.68</v>
      </c>
      <c r="D378" t="s">
        <v>29</v>
      </c>
    </row>
    <row r="379" spans="1:4" x14ac:dyDescent="0.25">
      <c r="A379" t="s">
        <v>79</v>
      </c>
      <c r="B379" s="2">
        <v>45659</v>
      </c>
      <c r="C379" s="1">
        <v>7.2</v>
      </c>
      <c r="D379" t="s">
        <v>29</v>
      </c>
    </row>
    <row r="380" spans="1:4" x14ac:dyDescent="0.25">
      <c r="A380" t="s">
        <v>87</v>
      </c>
      <c r="B380" s="2">
        <v>45660</v>
      </c>
      <c r="C380" s="1">
        <v>7.2</v>
      </c>
      <c r="D380" t="s">
        <v>29</v>
      </c>
    </row>
    <row r="381" spans="1:4" x14ac:dyDescent="0.25">
      <c r="A381" t="s">
        <v>129</v>
      </c>
      <c r="B381" s="2">
        <v>45659</v>
      </c>
      <c r="C381" s="1">
        <v>6</v>
      </c>
      <c r="D381" t="s">
        <v>29</v>
      </c>
    </row>
    <row r="382" spans="1:4" x14ac:dyDescent="0.25">
      <c r="A382" t="s">
        <v>96</v>
      </c>
      <c r="B382" s="2">
        <v>45660</v>
      </c>
      <c r="C382" s="1">
        <v>6</v>
      </c>
      <c r="D382" t="s">
        <v>29</v>
      </c>
    </row>
    <row r="383" spans="1:4" x14ac:dyDescent="0.25">
      <c r="A383" t="s">
        <v>76</v>
      </c>
      <c r="B383" s="2">
        <v>45659</v>
      </c>
      <c r="C383" s="1">
        <v>4</v>
      </c>
      <c r="D383" t="s">
        <v>29</v>
      </c>
    </row>
    <row r="384" spans="1:4" x14ac:dyDescent="0.25">
      <c r="A384" t="s">
        <v>76</v>
      </c>
      <c r="B384" s="2">
        <v>45660</v>
      </c>
      <c r="C384" s="1">
        <v>4</v>
      </c>
      <c r="D384" t="s">
        <v>29</v>
      </c>
    </row>
    <row r="385" spans="1:4" x14ac:dyDescent="0.25">
      <c r="A385" t="s">
        <v>147</v>
      </c>
      <c r="B385" s="2">
        <v>45664</v>
      </c>
      <c r="C385" s="1">
        <v>4</v>
      </c>
      <c r="D385" t="s">
        <v>29</v>
      </c>
    </row>
    <row r="386" spans="1:4" x14ac:dyDescent="0.25">
      <c r="A386" t="s">
        <v>136</v>
      </c>
      <c r="B386" s="2">
        <v>45665</v>
      </c>
      <c r="C386" s="1">
        <v>4</v>
      </c>
      <c r="D386" t="s">
        <v>29</v>
      </c>
    </row>
    <row r="387" spans="1:4" x14ac:dyDescent="0.25">
      <c r="A387" t="s">
        <v>140</v>
      </c>
      <c r="B387" s="2">
        <v>45666</v>
      </c>
      <c r="C387" s="1">
        <v>4</v>
      </c>
      <c r="D387" t="s">
        <v>29</v>
      </c>
    </row>
    <row r="388" spans="1:4" x14ac:dyDescent="0.25">
      <c r="A388" t="s">
        <v>119</v>
      </c>
      <c r="B388" s="2">
        <v>45667</v>
      </c>
      <c r="C388" s="1">
        <v>4</v>
      </c>
      <c r="D388" t="s">
        <v>29</v>
      </c>
    </row>
    <row r="389" spans="1:4" x14ac:dyDescent="0.25">
      <c r="A389" t="s">
        <v>127</v>
      </c>
      <c r="B389" s="2">
        <v>45674</v>
      </c>
      <c r="C389" s="1">
        <v>4</v>
      </c>
      <c r="D389" t="s">
        <v>29</v>
      </c>
    </row>
    <row r="390" spans="1:4" x14ac:dyDescent="0.25">
      <c r="A390" t="s">
        <v>81</v>
      </c>
      <c r="B390" s="2">
        <v>45686</v>
      </c>
      <c r="C390" s="1">
        <v>0.17</v>
      </c>
      <c r="D390" t="s">
        <v>29</v>
      </c>
    </row>
    <row r="391" spans="1:4" x14ac:dyDescent="0.25">
      <c r="A391" t="s">
        <v>72</v>
      </c>
      <c r="B391" s="2">
        <v>45659</v>
      </c>
      <c r="C391" s="1">
        <v>7.2</v>
      </c>
      <c r="D391" t="s">
        <v>29</v>
      </c>
    </row>
    <row r="392" spans="1:4" x14ac:dyDescent="0.25">
      <c r="A392" t="s">
        <v>119</v>
      </c>
      <c r="B392" s="2">
        <v>45660</v>
      </c>
      <c r="C392" s="1">
        <v>7.2</v>
      </c>
      <c r="D392" t="s">
        <v>29</v>
      </c>
    </row>
    <row r="393" spans="1:4" x14ac:dyDescent="0.25">
      <c r="A393" t="s">
        <v>144</v>
      </c>
      <c r="B393" s="2">
        <v>45666</v>
      </c>
      <c r="C393" s="1">
        <v>0.56999999999999995</v>
      </c>
      <c r="D393" t="s">
        <v>29</v>
      </c>
    </row>
    <row r="394" spans="1:4" x14ac:dyDescent="0.25">
      <c r="A394" t="s">
        <v>143</v>
      </c>
      <c r="B394" s="2">
        <v>45673</v>
      </c>
      <c r="C394" s="1">
        <v>0.28000000000000003</v>
      </c>
      <c r="D394" t="s">
        <v>29</v>
      </c>
    </row>
    <row r="395" spans="1:4" x14ac:dyDescent="0.25">
      <c r="A395" t="s">
        <v>100</v>
      </c>
      <c r="B395" s="2">
        <v>45674</v>
      </c>
      <c r="C395" s="1">
        <v>0.72</v>
      </c>
      <c r="D395" t="s">
        <v>29</v>
      </c>
    </row>
    <row r="396" spans="1:4" x14ac:dyDescent="0.25">
      <c r="A396" t="s">
        <v>133</v>
      </c>
      <c r="B396" s="2">
        <v>45677</v>
      </c>
      <c r="C396" s="1">
        <v>7.2</v>
      </c>
      <c r="D396" t="s">
        <v>29</v>
      </c>
    </row>
    <row r="397" spans="1:4" x14ac:dyDescent="0.25">
      <c r="A397" t="s">
        <v>115</v>
      </c>
      <c r="B397" s="2">
        <v>45682</v>
      </c>
      <c r="C397" s="1">
        <v>0.95</v>
      </c>
      <c r="D397" t="s">
        <v>29</v>
      </c>
    </row>
    <row r="398" spans="1:4" x14ac:dyDescent="0.25">
      <c r="A398" t="s">
        <v>85</v>
      </c>
      <c r="B398" s="2">
        <v>45688</v>
      </c>
      <c r="C398" s="1">
        <v>3.7</v>
      </c>
      <c r="D398" t="s">
        <v>29</v>
      </c>
    </row>
    <row r="399" spans="1:4" x14ac:dyDescent="0.25">
      <c r="A399" t="s">
        <v>65</v>
      </c>
      <c r="B399" s="2">
        <v>45659</v>
      </c>
      <c r="C399" s="1">
        <v>7.2</v>
      </c>
      <c r="D399" t="s">
        <v>29</v>
      </c>
    </row>
    <row r="400" spans="1:4" x14ac:dyDescent="0.25">
      <c r="A400" t="s">
        <v>85</v>
      </c>
      <c r="B400" s="2">
        <v>45660</v>
      </c>
      <c r="C400" s="1">
        <v>7.2</v>
      </c>
      <c r="D400" t="s">
        <v>29</v>
      </c>
    </row>
    <row r="401" spans="1:4" x14ac:dyDescent="0.25">
      <c r="A401" t="s">
        <v>129</v>
      </c>
      <c r="B401" s="2">
        <v>45670</v>
      </c>
      <c r="C401" s="1">
        <v>7.2</v>
      </c>
      <c r="D401" t="s">
        <v>29</v>
      </c>
    </row>
    <row r="402" spans="1:4" x14ac:dyDescent="0.25">
      <c r="A402" t="s">
        <v>124</v>
      </c>
      <c r="B402" s="2">
        <v>45684</v>
      </c>
      <c r="C402" s="1">
        <v>7.2</v>
      </c>
      <c r="D402" t="s">
        <v>29</v>
      </c>
    </row>
    <row r="403" spans="1:4" x14ac:dyDescent="0.25">
      <c r="A403" t="s">
        <v>109</v>
      </c>
      <c r="B403" s="2">
        <v>45685</v>
      </c>
      <c r="C403" s="1">
        <v>7.2</v>
      </c>
      <c r="D403" t="s">
        <v>29</v>
      </c>
    </row>
    <row r="404" spans="1:4" x14ac:dyDescent="0.25">
      <c r="A404" t="s">
        <v>139</v>
      </c>
      <c r="B404" s="2">
        <v>45659</v>
      </c>
      <c r="C404" s="1">
        <v>7.2</v>
      </c>
      <c r="D404" t="s">
        <v>29</v>
      </c>
    </row>
    <row r="405" spans="1:4" x14ac:dyDescent="0.25">
      <c r="A405" t="s">
        <v>101</v>
      </c>
      <c r="B405" s="2">
        <v>45660</v>
      </c>
      <c r="C405" s="1">
        <v>7.2</v>
      </c>
      <c r="D405" t="s">
        <v>29</v>
      </c>
    </row>
    <row r="406" spans="1:4" x14ac:dyDescent="0.25">
      <c r="A406" t="s">
        <v>81</v>
      </c>
      <c r="B406" s="2">
        <v>45674</v>
      </c>
      <c r="C406" s="1">
        <v>7.2</v>
      </c>
      <c r="D406" t="s">
        <v>29</v>
      </c>
    </row>
    <row r="407" spans="1:4" x14ac:dyDescent="0.25">
      <c r="A407" t="s">
        <v>99</v>
      </c>
      <c r="B407" s="2">
        <v>45673</v>
      </c>
      <c r="C407" s="1">
        <v>1</v>
      </c>
      <c r="D407" t="s">
        <v>29</v>
      </c>
    </row>
    <row r="408" spans="1:4" x14ac:dyDescent="0.25">
      <c r="A408" t="s">
        <v>70</v>
      </c>
      <c r="B408" s="2">
        <v>45674</v>
      </c>
      <c r="C408" s="1">
        <v>7.2</v>
      </c>
      <c r="D408" t="s">
        <v>29</v>
      </c>
    </row>
    <row r="409" spans="1:4" x14ac:dyDescent="0.25">
      <c r="A409" t="s">
        <v>78</v>
      </c>
      <c r="B409" s="2">
        <v>45684</v>
      </c>
      <c r="C409" s="1">
        <v>7.2</v>
      </c>
      <c r="D409" t="s">
        <v>29</v>
      </c>
    </row>
    <row r="410" spans="1:4" x14ac:dyDescent="0.25">
      <c r="A410" t="s">
        <v>84</v>
      </c>
      <c r="B410" s="2">
        <v>45685</v>
      </c>
      <c r="C410" s="1">
        <v>7.2</v>
      </c>
      <c r="D410" t="s">
        <v>29</v>
      </c>
    </row>
    <row r="411" spans="1:4" x14ac:dyDescent="0.25">
      <c r="A411" t="s">
        <v>83</v>
      </c>
      <c r="B411" s="2">
        <v>45686</v>
      </c>
      <c r="C411" s="1">
        <v>7.2</v>
      </c>
      <c r="D411" t="s">
        <v>29</v>
      </c>
    </row>
    <row r="412" spans="1:4" x14ac:dyDescent="0.25">
      <c r="A412" t="s">
        <v>121</v>
      </c>
      <c r="B412" s="2">
        <v>45687</v>
      </c>
      <c r="C412" s="1">
        <v>7.2</v>
      </c>
      <c r="D412" t="s">
        <v>29</v>
      </c>
    </row>
    <row r="413" spans="1:4" x14ac:dyDescent="0.25">
      <c r="A413" t="s">
        <v>84</v>
      </c>
      <c r="B413" s="2">
        <v>45688</v>
      </c>
      <c r="C413" s="1">
        <v>7.2</v>
      </c>
      <c r="D413" t="s">
        <v>29</v>
      </c>
    </row>
    <row r="414" spans="1:4" x14ac:dyDescent="0.25">
      <c r="A414" t="s">
        <v>112</v>
      </c>
      <c r="B414" s="2">
        <v>45659</v>
      </c>
      <c r="C414" s="1">
        <v>7.2</v>
      </c>
      <c r="D414" t="s">
        <v>29</v>
      </c>
    </row>
    <row r="415" spans="1:4" x14ac:dyDescent="0.25">
      <c r="A415" t="s">
        <v>100</v>
      </c>
      <c r="B415" s="2">
        <v>45660</v>
      </c>
      <c r="C415" s="1">
        <v>7.2</v>
      </c>
      <c r="D415" t="s">
        <v>29</v>
      </c>
    </row>
    <row r="416" spans="1:4" x14ac:dyDescent="0.25">
      <c r="A416" t="s">
        <v>108</v>
      </c>
      <c r="B416" s="2">
        <v>45659</v>
      </c>
      <c r="C416" s="1">
        <v>7.6</v>
      </c>
      <c r="D416" t="s">
        <v>29</v>
      </c>
    </row>
    <row r="417" spans="1:4" x14ac:dyDescent="0.25">
      <c r="A417" t="s">
        <v>72</v>
      </c>
      <c r="B417" s="2">
        <v>45660</v>
      </c>
      <c r="C417" s="1">
        <v>7.6</v>
      </c>
      <c r="D417" t="s">
        <v>29</v>
      </c>
    </row>
    <row r="418" spans="1:4" x14ac:dyDescent="0.25">
      <c r="A418" t="s">
        <v>140</v>
      </c>
      <c r="B418" s="2">
        <v>45659</v>
      </c>
      <c r="C418" s="1">
        <v>7.6</v>
      </c>
      <c r="D418" t="s">
        <v>29</v>
      </c>
    </row>
    <row r="419" spans="1:4" x14ac:dyDescent="0.25">
      <c r="A419" t="s">
        <v>140</v>
      </c>
      <c r="B419" s="2">
        <v>45660</v>
      </c>
      <c r="C419" s="1">
        <v>7.6</v>
      </c>
      <c r="D419" t="s">
        <v>29</v>
      </c>
    </row>
    <row r="420" spans="1:4" x14ac:dyDescent="0.25">
      <c r="A420" t="s">
        <v>79</v>
      </c>
      <c r="B420" s="2">
        <v>45667</v>
      </c>
      <c r="C420" s="1">
        <v>7.6</v>
      </c>
      <c r="D420" t="s">
        <v>29</v>
      </c>
    </row>
    <row r="421" spans="1:4" x14ac:dyDescent="0.25">
      <c r="A421" t="s">
        <v>126</v>
      </c>
      <c r="B421" s="2">
        <v>45684</v>
      </c>
      <c r="C421" s="1">
        <v>7.6</v>
      </c>
      <c r="D421" t="s">
        <v>29</v>
      </c>
    </row>
    <row r="422" spans="1:4" x14ac:dyDescent="0.25">
      <c r="A422" t="s">
        <v>111</v>
      </c>
      <c r="B422" s="2">
        <v>45685</v>
      </c>
      <c r="C422" s="1">
        <v>7.6</v>
      </c>
      <c r="D422" t="s">
        <v>29</v>
      </c>
    </row>
    <row r="423" spans="1:4" x14ac:dyDescent="0.25">
      <c r="A423" t="s">
        <v>119</v>
      </c>
      <c r="B423" s="2">
        <v>45659</v>
      </c>
      <c r="C423" s="1">
        <v>7.2</v>
      </c>
      <c r="D423" t="s">
        <v>29</v>
      </c>
    </row>
    <row r="424" spans="1:4" x14ac:dyDescent="0.25">
      <c r="A424" t="s">
        <v>104</v>
      </c>
      <c r="B424" s="2">
        <v>45660</v>
      </c>
      <c r="C424" s="1">
        <v>7.2</v>
      </c>
      <c r="D424" t="s">
        <v>29</v>
      </c>
    </row>
    <row r="425" spans="1:4" x14ac:dyDescent="0.25">
      <c r="A425" t="s">
        <v>100</v>
      </c>
      <c r="B425" s="2">
        <v>45673</v>
      </c>
      <c r="C425" s="1">
        <v>3</v>
      </c>
      <c r="D425" t="s">
        <v>29</v>
      </c>
    </row>
    <row r="426" spans="1:4" x14ac:dyDescent="0.25">
      <c r="A426" t="s">
        <v>124</v>
      </c>
      <c r="B426" s="2">
        <v>45666</v>
      </c>
      <c r="C426" s="1">
        <v>7.2</v>
      </c>
      <c r="D426" t="s">
        <v>29</v>
      </c>
    </row>
    <row r="427" spans="1:4" x14ac:dyDescent="0.25">
      <c r="A427" t="s">
        <v>148</v>
      </c>
      <c r="B427" s="2">
        <v>45667</v>
      </c>
      <c r="C427" s="1">
        <v>7.2</v>
      </c>
      <c r="D427" t="s">
        <v>29</v>
      </c>
    </row>
    <row r="428" spans="1:4" x14ac:dyDescent="0.25">
      <c r="A428" t="s">
        <v>140</v>
      </c>
      <c r="B428" s="2">
        <v>45684</v>
      </c>
      <c r="C428" s="1">
        <v>7.2</v>
      </c>
      <c r="D428" t="s">
        <v>29</v>
      </c>
    </row>
    <row r="429" spans="1:4" x14ac:dyDescent="0.25">
      <c r="A429" t="s">
        <v>144</v>
      </c>
      <c r="B429" s="2">
        <v>45685</v>
      </c>
      <c r="C429" s="1">
        <v>7.2</v>
      </c>
      <c r="D429" t="s">
        <v>29</v>
      </c>
    </row>
    <row r="430" spans="1:4" x14ac:dyDescent="0.25">
      <c r="A430" t="s">
        <v>71</v>
      </c>
      <c r="B430" s="2">
        <v>45659</v>
      </c>
      <c r="C430" s="1">
        <v>7.6</v>
      </c>
      <c r="D430" t="s">
        <v>29</v>
      </c>
    </row>
    <row r="431" spans="1:4" x14ac:dyDescent="0.25">
      <c r="A431" t="s">
        <v>128</v>
      </c>
      <c r="B431" s="2">
        <v>45660</v>
      </c>
      <c r="C431" s="1">
        <v>7.6</v>
      </c>
      <c r="D431" t="s">
        <v>29</v>
      </c>
    </row>
    <row r="432" spans="1:4" x14ac:dyDescent="0.25">
      <c r="A432" t="s">
        <v>94</v>
      </c>
      <c r="B432" s="2">
        <v>45664</v>
      </c>
      <c r="C432" s="1">
        <v>7.6</v>
      </c>
      <c r="D432" t="s">
        <v>29</v>
      </c>
    </row>
    <row r="433" spans="1:4" x14ac:dyDescent="0.25">
      <c r="A433" t="s">
        <v>99</v>
      </c>
      <c r="B433" s="2">
        <v>45688</v>
      </c>
      <c r="C433" s="1">
        <v>7.6</v>
      </c>
      <c r="D433" t="s">
        <v>29</v>
      </c>
    </row>
    <row r="434" spans="1:4" x14ac:dyDescent="0.25">
      <c r="A434" t="s">
        <v>105</v>
      </c>
      <c r="B434" s="2">
        <v>45659</v>
      </c>
      <c r="C434" s="1">
        <v>6</v>
      </c>
      <c r="D434" t="s">
        <v>29</v>
      </c>
    </row>
    <row r="435" spans="1:4" x14ac:dyDescent="0.25">
      <c r="A435" t="s">
        <v>101</v>
      </c>
      <c r="B435" s="2">
        <v>45660</v>
      </c>
      <c r="C435" s="1">
        <v>6</v>
      </c>
      <c r="D435" t="s">
        <v>29</v>
      </c>
    </row>
    <row r="436" spans="1:4" x14ac:dyDescent="0.25">
      <c r="A436" t="s">
        <v>74</v>
      </c>
      <c r="B436" s="2">
        <v>45661</v>
      </c>
      <c r="C436" s="1">
        <v>6</v>
      </c>
      <c r="D436" t="s">
        <v>29</v>
      </c>
    </row>
    <row r="437" spans="1:4" x14ac:dyDescent="0.25">
      <c r="A437" t="s">
        <v>65</v>
      </c>
      <c r="B437" s="2">
        <v>45659</v>
      </c>
      <c r="C437" s="1">
        <v>7.2</v>
      </c>
      <c r="D437" t="s">
        <v>29</v>
      </c>
    </row>
    <row r="438" spans="1:4" x14ac:dyDescent="0.25">
      <c r="A438" t="s">
        <v>109</v>
      </c>
      <c r="B438" s="2">
        <v>45660</v>
      </c>
      <c r="C438" s="1">
        <v>7.2</v>
      </c>
      <c r="D438" t="s">
        <v>29</v>
      </c>
    </row>
    <row r="439" spans="1:4" x14ac:dyDescent="0.25">
      <c r="A439" t="s">
        <v>145</v>
      </c>
      <c r="B439" s="2">
        <v>45674</v>
      </c>
      <c r="C439" s="1">
        <v>7.2</v>
      </c>
      <c r="D439" t="s">
        <v>29</v>
      </c>
    </row>
    <row r="440" spans="1:4" x14ac:dyDescent="0.25">
      <c r="A440" t="s">
        <v>91</v>
      </c>
      <c r="B440" s="2">
        <v>45659</v>
      </c>
      <c r="C440" s="1">
        <v>7.2</v>
      </c>
      <c r="D440" t="s">
        <v>29</v>
      </c>
    </row>
    <row r="441" spans="1:4" x14ac:dyDescent="0.25">
      <c r="A441" t="s">
        <v>101</v>
      </c>
      <c r="B441" s="2">
        <v>45660</v>
      </c>
      <c r="C441" s="1">
        <v>7.2</v>
      </c>
      <c r="D441" t="s">
        <v>29</v>
      </c>
    </row>
    <row r="442" spans="1:4" x14ac:dyDescent="0.25">
      <c r="A442" t="s">
        <v>87</v>
      </c>
      <c r="B442" s="2">
        <v>45659</v>
      </c>
      <c r="C442" s="1">
        <v>6</v>
      </c>
      <c r="D442" t="s">
        <v>29</v>
      </c>
    </row>
    <row r="443" spans="1:4" x14ac:dyDescent="0.25">
      <c r="A443" t="s">
        <v>136</v>
      </c>
      <c r="B443" s="2">
        <v>45660</v>
      </c>
      <c r="C443" s="1">
        <v>6</v>
      </c>
      <c r="D443" t="s">
        <v>29</v>
      </c>
    </row>
    <row r="444" spans="1:4" x14ac:dyDescent="0.25">
      <c r="A444" t="s">
        <v>80</v>
      </c>
      <c r="B444" s="2">
        <v>45677</v>
      </c>
      <c r="C444" s="1">
        <v>1.93</v>
      </c>
      <c r="D444" t="s">
        <v>29</v>
      </c>
    </row>
    <row r="445" spans="1:4" x14ac:dyDescent="0.25">
      <c r="A445" t="s">
        <v>67</v>
      </c>
      <c r="B445" s="2">
        <v>45678</v>
      </c>
      <c r="C445" s="1">
        <v>6</v>
      </c>
      <c r="D445" t="s">
        <v>29</v>
      </c>
    </row>
    <row r="446" spans="1:4" x14ac:dyDescent="0.25">
      <c r="A446" t="s">
        <v>130</v>
      </c>
      <c r="B446" s="2">
        <v>45679</v>
      </c>
      <c r="C446" s="1">
        <v>6</v>
      </c>
      <c r="D446" t="s">
        <v>29</v>
      </c>
    </row>
    <row r="447" spans="1:4" x14ac:dyDescent="0.25">
      <c r="A447" t="s">
        <v>109</v>
      </c>
      <c r="B447" s="2">
        <v>45680</v>
      </c>
      <c r="C447" s="1">
        <v>6</v>
      </c>
      <c r="D447" t="s">
        <v>29</v>
      </c>
    </row>
    <row r="448" spans="1:4" x14ac:dyDescent="0.25">
      <c r="A448" t="s">
        <v>143</v>
      </c>
      <c r="B448" s="2">
        <v>45681</v>
      </c>
      <c r="C448" s="1">
        <v>6</v>
      </c>
      <c r="D448" t="s">
        <v>29</v>
      </c>
    </row>
    <row r="449" spans="1:4" x14ac:dyDescent="0.25">
      <c r="A449" t="s">
        <v>74</v>
      </c>
      <c r="B449" s="2">
        <v>45684</v>
      </c>
      <c r="C449" s="1">
        <v>6</v>
      </c>
      <c r="D449" t="s">
        <v>29</v>
      </c>
    </row>
    <row r="450" spans="1:4" x14ac:dyDescent="0.25">
      <c r="A450" t="s">
        <v>149</v>
      </c>
      <c r="B450" s="2">
        <v>45674</v>
      </c>
      <c r="C450" s="1">
        <v>0.52</v>
      </c>
      <c r="D450" t="s">
        <v>29</v>
      </c>
    </row>
    <row r="451" spans="1:4" x14ac:dyDescent="0.25">
      <c r="A451" t="s">
        <v>94</v>
      </c>
      <c r="B451" s="2">
        <v>45659</v>
      </c>
      <c r="C451" s="1">
        <v>6</v>
      </c>
      <c r="D451" t="s">
        <v>29</v>
      </c>
    </row>
    <row r="452" spans="1:4" x14ac:dyDescent="0.25">
      <c r="A452" t="s">
        <v>74</v>
      </c>
      <c r="B452" s="2">
        <v>45660</v>
      </c>
      <c r="C452" s="1">
        <v>6</v>
      </c>
      <c r="D452" t="s">
        <v>29</v>
      </c>
    </row>
    <row r="453" spans="1:4" x14ac:dyDescent="0.25">
      <c r="A453" t="s">
        <v>98</v>
      </c>
      <c r="B453" s="2">
        <v>45661</v>
      </c>
      <c r="C453" s="1">
        <v>6</v>
      </c>
      <c r="D453" t="s">
        <v>29</v>
      </c>
    </row>
    <row r="454" spans="1:4" x14ac:dyDescent="0.25">
      <c r="A454" t="s">
        <v>92</v>
      </c>
      <c r="B454" s="2">
        <v>45664</v>
      </c>
      <c r="C454" s="1">
        <v>7</v>
      </c>
      <c r="D454" t="s">
        <v>29</v>
      </c>
    </row>
    <row r="455" spans="1:4" x14ac:dyDescent="0.25">
      <c r="A455" t="s">
        <v>149</v>
      </c>
      <c r="B455" s="2">
        <v>45674</v>
      </c>
      <c r="C455" s="1">
        <v>0.5</v>
      </c>
      <c r="D455" t="s">
        <v>29</v>
      </c>
    </row>
    <row r="456" spans="1:4" x14ac:dyDescent="0.25">
      <c r="A456" t="s">
        <v>76</v>
      </c>
      <c r="B456" s="2">
        <v>45680</v>
      </c>
      <c r="C456" s="1">
        <v>1.93</v>
      </c>
      <c r="D456" t="s">
        <v>29</v>
      </c>
    </row>
    <row r="457" spans="1:4" x14ac:dyDescent="0.25">
      <c r="A457" t="s">
        <v>118</v>
      </c>
      <c r="B457" s="2">
        <v>45659</v>
      </c>
      <c r="C457" s="1">
        <v>6</v>
      </c>
      <c r="D457" t="s">
        <v>29</v>
      </c>
    </row>
    <row r="458" spans="1:4" x14ac:dyDescent="0.25">
      <c r="A458" t="s">
        <v>123</v>
      </c>
      <c r="B458" s="2">
        <v>45660</v>
      </c>
      <c r="C458" s="1">
        <v>6</v>
      </c>
      <c r="D458" t="s">
        <v>29</v>
      </c>
    </row>
    <row r="459" spans="1:4" x14ac:dyDescent="0.25">
      <c r="A459" t="s">
        <v>78</v>
      </c>
      <c r="B459" s="2">
        <v>45665</v>
      </c>
      <c r="C459" s="1">
        <v>5.45</v>
      </c>
      <c r="D459" t="s">
        <v>29</v>
      </c>
    </row>
    <row r="460" spans="1:4" x14ac:dyDescent="0.25">
      <c r="A460" t="s">
        <v>98</v>
      </c>
      <c r="B460" s="2">
        <v>45672</v>
      </c>
      <c r="C460" s="1">
        <v>6</v>
      </c>
      <c r="D460" t="s">
        <v>29</v>
      </c>
    </row>
    <row r="461" spans="1:4" x14ac:dyDescent="0.25">
      <c r="A461" t="s">
        <v>97</v>
      </c>
      <c r="B461" s="2">
        <v>45685</v>
      </c>
      <c r="C461" s="1">
        <v>6</v>
      </c>
      <c r="D461" t="s">
        <v>29</v>
      </c>
    </row>
    <row r="462" spans="1:4" x14ac:dyDescent="0.25">
      <c r="A462" t="s">
        <v>121</v>
      </c>
      <c r="B462" s="2">
        <v>45686</v>
      </c>
      <c r="C462" s="1">
        <v>6</v>
      </c>
      <c r="D462" t="s">
        <v>29</v>
      </c>
    </row>
    <row r="463" spans="1:4" x14ac:dyDescent="0.25">
      <c r="A463" t="s">
        <v>121</v>
      </c>
      <c r="B463" s="2">
        <v>45659</v>
      </c>
      <c r="C463" s="1">
        <v>7.2</v>
      </c>
      <c r="D463" t="s">
        <v>29</v>
      </c>
    </row>
    <row r="464" spans="1:4" x14ac:dyDescent="0.25">
      <c r="A464" t="s">
        <v>98</v>
      </c>
      <c r="B464" s="2">
        <v>45660</v>
      </c>
      <c r="C464" s="1">
        <v>7.2</v>
      </c>
      <c r="D464" t="s">
        <v>29</v>
      </c>
    </row>
    <row r="465" spans="1:4" x14ac:dyDescent="0.25">
      <c r="A465" t="s">
        <v>131</v>
      </c>
      <c r="B465" s="2">
        <v>45659</v>
      </c>
      <c r="C465" s="1">
        <v>7.2</v>
      </c>
      <c r="D465" t="s">
        <v>29</v>
      </c>
    </row>
    <row r="466" spans="1:4" x14ac:dyDescent="0.25">
      <c r="A466" t="s">
        <v>102</v>
      </c>
      <c r="B466" s="2">
        <v>45660</v>
      </c>
      <c r="C466" s="1">
        <v>7.2</v>
      </c>
      <c r="D466" t="s">
        <v>29</v>
      </c>
    </row>
    <row r="467" spans="1:4" x14ac:dyDescent="0.25">
      <c r="A467" t="s">
        <v>74</v>
      </c>
      <c r="B467" s="2">
        <v>45686</v>
      </c>
      <c r="C467" s="1">
        <v>7.2</v>
      </c>
      <c r="D467" t="s">
        <v>29</v>
      </c>
    </row>
    <row r="468" spans="1:4" x14ac:dyDescent="0.25">
      <c r="A468" t="s">
        <v>90</v>
      </c>
      <c r="B468" s="2">
        <v>45665</v>
      </c>
      <c r="C468" s="1">
        <v>6</v>
      </c>
      <c r="D468" t="s">
        <v>29</v>
      </c>
    </row>
    <row r="469" spans="1:4" x14ac:dyDescent="0.25">
      <c r="A469" t="s">
        <v>94</v>
      </c>
      <c r="B469" s="2">
        <v>45666</v>
      </c>
      <c r="C469" s="1">
        <v>6</v>
      </c>
      <c r="D469" t="s">
        <v>29</v>
      </c>
    </row>
    <row r="470" spans="1:4" x14ac:dyDescent="0.25">
      <c r="A470" t="s">
        <v>76</v>
      </c>
      <c r="B470" s="2">
        <v>45667</v>
      </c>
      <c r="C470" s="1">
        <v>6</v>
      </c>
      <c r="D470" t="s">
        <v>29</v>
      </c>
    </row>
    <row r="471" spans="1:4" x14ac:dyDescent="0.25">
      <c r="A471" t="s">
        <v>120</v>
      </c>
      <c r="B471" s="2">
        <v>45668</v>
      </c>
      <c r="C471" s="1">
        <v>6</v>
      </c>
      <c r="D471" t="s">
        <v>29</v>
      </c>
    </row>
    <row r="472" spans="1:4" x14ac:dyDescent="0.25">
      <c r="A472" t="s">
        <v>101</v>
      </c>
      <c r="B472" s="2">
        <v>45670</v>
      </c>
      <c r="C472" s="1">
        <v>6</v>
      </c>
      <c r="D472" t="s">
        <v>29</v>
      </c>
    </row>
    <row r="473" spans="1:4" x14ac:dyDescent="0.25">
      <c r="A473" t="s">
        <v>102</v>
      </c>
      <c r="B473" s="2">
        <v>45671</v>
      </c>
      <c r="C473" s="1">
        <v>6</v>
      </c>
      <c r="D473" t="s">
        <v>29</v>
      </c>
    </row>
    <row r="474" spans="1:4" x14ac:dyDescent="0.25">
      <c r="A474" t="s">
        <v>78</v>
      </c>
      <c r="B474" s="2">
        <v>45659</v>
      </c>
      <c r="C474" s="1">
        <v>6.33</v>
      </c>
      <c r="D474" t="s">
        <v>29</v>
      </c>
    </row>
    <row r="475" spans="1:4" x14ac:dyDescent="0.25">
      <c r="A475" t="s">
        <v>143</v>
      </c>
      <c r="B475" s="2">
        <v>45660</v>
      </c>
      <c r="C475" s="1">
        <v>6.33</v>
      </c>
      <c r="D475" t="s">
        <v>29</v>
      </c>
    </row>
    <row r="476" spans="1:4" x14ac:dyDescent="0.25">
      <c r="A476" t="s">
        <v>102</v>
      </c>
      <c r="B476" s="2">
        <v>45661</v>
      </c>
      <c r="C476" s="1">
        <v>6.33</v>
      </c>
      <c r="D476" t="s">
        <v>29</v>
      </c>
    </row>
    <row r="477" spans="1:4" x14ac:dyDescent="0.25">
      <c r="A477" t="s">
        <v>111</v>
      </c>
      <c r="B477" s="2">
        <v>45659</v>
      </c>
      <c r="C477" s="1">
        <v>7.2</v>
      </c>
      <c r="D477" t="s">
        <v>29</v>
      </c>
    </row>
    <row r="478" spans="1:4" x14ac:dyDescent="0.25">
      <c r="A478" t="s">
        <v>91</v>
      </c>
      <c r="B478" s="2">
        <v>45660</v>
      </c>
      <c r="C478" s="1">
        <v>7.2</v>
      </c>
      <c r="D478" t="s">
        <v>29</v>
      </c>
    </row>
    <row r="479" spans="1:4" x14ac:dyDescent="0.25">
      <c r="A479" t="s">
        <v>128</v>
      </c>
      <c r="B479" s="2">
        <v>45671</v>
      </c>
      <c r="C479" s="1">
        <v>7.2</v>
      </c>
      <c r="D479" t="s">
        <v>29</v>
      </c>
    </row>
    <row r="480" spans="1:4" x14ac:dyDescent="0.25">
      <c r="A480" t="s">
        <v>114</v>
      </c>
      <c r="B480" s="2">
        <v>45665</v>
      </c>
      <c r="C480" s="1">
        <v>0.48</v>
      </c>
      <c r="D480" t="s">
        <v>29</v>
      </c>
    </row>
    <row r="481" spans="1:4" x14ac:dyDescent="0.25">
      <c r="A481" t="s">
        <v>87</v>
      </c>
      <c r="B481" s="2">
        <v>45673</v>
      </c>
      <c r="C481" s="1">
        <v>7.2</v>
      </c>
      <c r="D481" t="s">
        <v>29</v>
      </c>
    </row>
    <row r="482" spans="1:4" x14ac:dyDescent="0.25">
      <c r="A482" t="s">
        <v>69</v>
      </c>
      <c r="B482" s="2">
        <v>45659</v>
      </c>
      <c r="C482" s="1">
        <v>7.2</v>
      </c>
      <c r="D482" t="s">
        <v>29</v>
      </c>
    </row>
    <row r="483" spans="1:4" x14ac:dyDescent="0.25">
      <c r="A483" t="s">
        <v>129</v>
      </c>
      <c r="B483" s="2">
        <v>45660</v>
      </c>
      <c r="C483" s="1">
        <v>7.2</v>
      </c>
      <c r="D483" t="s">
        <v>29</v>
      </c>
    </row>
    <row r="484" spans="1:4" x14ac:dyDescent="0.25">
      <c r="A484" t="s">
        <v>107</v>
      </c>
      <c r="B484" s="2">
        <v>45684</v>
      </c>
      <c r="C484" s="1">
        <v>7.2</v>
      </c>
      <c r="D484" t="s">
        <v>29</v>
      </c>
    </row>
    <row r="485" spans="1:4" x14ac:dyDescent="0.25">
      <c r="A485" t="s">
        <v>147</v>
      </c>
      <c r="B485" s="2">
        <v>45659</v>
      </c>
      <c r="C485" s="1">
        <v>6</v>
      </c>
      <c r="D485" t="s">
        <v>29</v>
      </c>
    </row>
    <row r="486" spans="1:4" x14ac:dyDescent="0.25">
      <c r="A486" t="s">
        <v>79</v>
      </c>
      <c r="B486" s="2">
        <v>45664</v>
      </c>
      <c r="C486" s="1">
        <v>6</v>
      </c>
      <c r="D486" t="s">
        <v>29</v>
      </c>
    </row>
    <row r="487" spans="1:4" x14ac:dyDescent="0.25">
      <c r="A487" t="s">
        <v>128</v>
      </c>
      <c r="B487" s="2">
        <v>45675</v>
      </c>
      <c r="C487" s="1">
        <v>0.98</v>
      </c>
      <c r="D487" t="s">
        <v>29</v>
      </c>
    </row>
    <row r="488" spans="1:4" x14ac:dyDescent="0.25">
      <c r="A488" t="s">
        <v>104</v>
      </c>
      <c r="B488" s="2">
        <v>45685</v>
      </c>
      <c r="C488" s="1">
        <v>7</v>
      </c>
      <c r="D488" t="s">
        <v>29</v>
      </c>
    </row>
    <row r="489" spans="1:4" x14ac:dyDescent="0.25">
      <c r="A489" t="s">
        <v>126</v>
      </c>
      <c r="B489" s="2">
        <v>45659</v>
      </c>
      <c r="C489" s="1">
        <v>6</v>
      </c>
      <c r="D489" t="s">
        <v>29</v>
      </c>
    </row>
    <row r="490" spans="1:4" x14ac:dyDescent="0.25">
      <c r="A490" t="s">
        <v>110</v>
      </c>
      <c r="B490" s="2">
        <v>45660</v>
      </c>
      <c r="C490" s="1">
        <v>6</v>
      </c>
      <c r="D490" t="s">
        <v>29</v>
      </c>
    </row>
    <row r="491" spans="1:4" x14ac:dyDescent="0.25">
      <c r="A491" t="s">
        <v>147</v>
      </c>
      <c r="B491" s="2">
        <v>45661</v>
      </c>
      <c r="C491" s="1">
        <v>6</v>
      </c>
      <c r="D491" t="s">
        <v>29</v>
      </c>
    </row>
    <row r="492" spans="1:4" x14ac:dyDescent="0.25">
      <c r="A492" t="s">
        <v>105</v>
      </c>
      <c r="B492" s="2">
        <v>45686</v>
      </c>
      <c r="C492" s="1">
        <v>0.95</v>
      </c>
      <c r="D492" t="s">
        <v>29</v>
      </c>
    </row>
    <row r="493" spans="1:4" x14ac:dyDescent="0.25">
      <c r="A493" t="s">
        <v>87</v>
      </c>
      <c r="B493" s="2">
        <v>45659</v>
      </c>
      <c r="C493" s="1">
        <v>6</v>
      </c>
      <c r="D493" t="s">
        <v>29</v>
      </c>
    </row>
    <row r="494" spans="1:4" x14ac:dyDescent="0.25">
      <c r="A494" t="s">
        <v>135</v>
      </c>
      <c r="B494" s="2">
        <v>45661</v>
      </c>
      <c r="C494" s="1">
        <v>6</v>
      </c>
      <c r="D494" t="s">
        <v>29</v>
      </c>
    </row>
    <row r="495" spans="1:4" x14ac:dyDescent="0.25">
      <c r="A495" t="s">
        <v>102</v>
      </c>
      <c r="B495" s="2">
        <v>45679</v>
      </c>
      <c r="C495" s="1">
        <v>0.38</v>
      </c>
      <c r="D495" t="s">
        <v>29</v>
      </c>
    </row>
    <row r="496" spans="1:4" x14ac:dyDescent="0.25">
      <c r="A496" t="s">
        <v>79</v>
      </c>
      <c r="B496" s="2">
        <v>45659</v>
      </c>
      <c r="C496" s="1">
        <v>7.2</v>
      </c>
      <c r="D496" t="s">
        <v>29</v>
      </c>
    </row>
    <row r="497" spans="1:4" x14ac:dyDescent="0.25">
      <c r="A497" t="s">
        <v>130</v>
      </c>
      <c r="B497" s="2">
        <v>45660</v>
      </c>
      <c r="C497" s="1">
        <v>7.2</v>
      </c>
      <c r="D497" t="s">
        <v>29</v>
      </c>
    </row>
    <row r="498" spans="1:4" x14ac:dyDescent="0.25">
      <c r="A498" t="s">
        <v>72</v>
      </c>
      <c r="B498" s="2">
        <v>45665</v>
      </c>
      <c r="C498" s="1">
        <v>0.97</v>
      </c>
      <c r="D498" t="s">
        <v>29</v>
      </c>
    </row>
    <row r="499" spans="1:4" x14ac:dyDescent="0.25">
      <c r="A499" t="s">
        <v>110</v>
      </c>
      <c r="B499" s="2">
        <v>45672</v>
      </c>
      <c r="C499" s="1">
        <v>3.7</v>
      </c>
      <c r="D499" t="s">
        <v>29</v>
      </c>
    </row>
    <row r="500" spans="1:4" x14ac:dyDescent="0.25">
      <c r="A500" t="s">
        <v>147</v>
      </c>
      <c r="B500" s="2">
        <v>45674</v>
      </c>
      <c r="C500" s="1">
        <v>7.2</v>
      </c>
      <c r="D500" t="s">
        <v>29</v>
      </c>
    </row>
    <row r="501" spans="1:4" x14ac:dyDescent="0.25">
      <c r="A501" t="s">
        <v>146</v>
      </c>
      <c r="B501" s="2">
        <v>45659</v>
      </c>
      <c r="C501" s="1">
        <v>6</v>
      </c>
      <c r="D501" t="s">
        <v>29</v>
      </c>
    </row>
    <row r="502" spans="1:4" x14ac:dyDescent="0.25">
      <c r="A502" t="s">
        <v>97</v>
      </c>
      <c r="B502" s="2">
        <v>45660</v>
      </c>
      <c r="C502" s="1">
        <v>6</v>
      </c>
      <c r="D502" t="s">
        <v>29</v>
      </c>
    </row>
    <row r="503" spans="1:4" x14ac:dyDescent="0.25">
      <c r="A503" t="s">
        <v>123</v>
      </c>
      <c r="B503" s="2">
        <v>45664</v>
      </c>
      <c r="C503" s="1">
        <v>1.9</v>
      </c>
      <c r="D503" t="s">
        <v>29</v>
      </c>
    </row>
    <row r="504" spans="1:4" x14ac:dyDescent="0.25">
      <c r="A504" t="s">
        <v>110</v>
      </c>
      <c r="B504" s="2">
        <v>45665</v>
      </c>
      <c r="C504" s="1">
        <v>1.92</v>
      </c>
      <c r="D504" t="s">
        <v>29</v>
      </c>
    </row>
    <row r="505" spans="1:4" x14ac:dyDescent="0.25">
      <c r="A505" t="s">
        <v>84</v>
      </c>
      <c r="B505" s="2">
        <v>45666</v>
      </c>
      <c r="C505" s="1">
        <v>1.93</v>
      </c>
      <c r="D505" t="s">
        <v>29</v>
      </c>
    </row>
    <row r="506" spans="1:4" x14ac:dyDescent="0.25">
      <c r="A506" t="s">
        <v>144</v>
      </c>
      <c r="B506" s="2">
        <v>45667</v>
      </c>
      <c r="C506" s="1">
        <v>2</v>
      </c>
      <c r="D506" t="s">
        <v>29</v>
      </c>
    </row>
    <row r="507" spans="1:4" x14ac:dyDescent="0.25">
      <c r="A507" t="s">
        <v>80</v>
      </c>
      <c r="B507" s="2">
        <v>45670</v>
      </c>
      <c r="C507" s="1">
        <v>2.1800000000000002</v>
      </c>
      <c r="D507" t="s">
        <v>29</v>
      </c>
    </row>
    <row r="508" spans="1:4" x14ac:dyDescent="0.25">
      <c r="A508" t="s">
        <v>100</v>
      </c>
      <c r="B508" s="2">
        <v>45671</v>
      </c>
      <c r="C508" s="1">
        <v>1.98</v>
      </c>
      <c r="D508" t="s">
        <v>29</v>
      </c>
    </row>
    <row r="509" spans="1:4" x14ac:dyDescent="0.25">
      <c r="A509" t="s">
        <v>80</v>
      </c>
      <c r="B509" s="2">
        <v>45672</v>
      </c>
      <c r="C509" s="1">
        <v>2</v>
      </c>
      <c r="D509" t="s">
        <v>29</v>
      </c>
    </row>
    <row r="510" spans="1:4" x14ac:dyDescent="0.25">
      <c r="A510" t="s">
        <v>87</v>
      </c>
      <c r="B510" s="2">
        <v>45673</v>
      </c>
      <c r="C510" s="1">
        <v>1.92</v>
      </c>
      <c r="D510" t="s">
        <v>29</v>
      </c>
    </row>
    <row r="511" spans="1:4" x14ac:dyDescent="0.25">
      <c r="A511" t="s">
        <v>107</v>
      </c>
      <c r="B511" s="2">
        <v>45674</v>
      </c>
      <c r="C511" s="1">
        <v>1.82</v>
      </c>
      <c r="D511" t="s">
        <v>29</v>
      </c>
    </row>
    <row r="512" spans="1:4" x14ac:dyDescent="0.25">
      <c r="A512" t="s">
        <v>113</v>
      </c>
      <c r="B512" s="2">
        <v>45659</v>
      </c>
      <c r="C512" s="1">
        <v>6</v>
      </c>
      <c r="D512" t="s">
        <v>29</v>
      </c>
    </row>
    <row r="513" spans="1:4" x14ac:dyDescent="0.25">
      <c r="A513" t="s">
        <v>112</v>
      </c>
      <c r="B513" s="2">
        <v>45660</v>
      </c>
      <c r="C513" s="1">
        <v>6</v>
      </c>
      <c r="D513" t="s">
        <v>29</v>
      </c>
    </row>
    <row r="514" spans="1:4" x14ac:dyDescent="0.25">
      <c r="A514" t="s">
        <v>108</v>
      </c>
      <c r="B514" s="2">
        <v>45685</v>
      </c>
      <c r="C514" s="1">
        <v>0.98</v>
      </c>
      <c r="D514" t="s">
        <v>29</v>
      </c>
    </row>
    <row r="515" spans="1:4" x14ac:dyDescent="0.25">
      <c r="A515" t="s">
        <v>126</v>
      </c>
      <c r="B515" s="2">
        <v>45659</v>
      </c>
      <c r="C515" s="1">
        <v>7.2</v>
      </c>
      <c r="D515" t="s">
        <v>29</v>
      </c>
    </row>
    <row r="516" spans="1:4" x14ac:dyDescent="0.25">
      <c r="A516" t="s">
        <v>74</v>
      </c>
      <c r="B516" s="2">
        <v>45660</v>
      </c>
      <c r="C516" s="1">
        <v>7.2</v>
      </c>
      <c r="D516" t="s">
        <v>29</v>
      </c>
    </row>
    <row r="517" spans="1:4" x14ac:dyDescent="0.25">
      <c r="A517" t="s">
        <v>119</v>
      </c>
      <c r="B517" s="2">
        <v>45678</v>
      </c>
      <c r="C517" s="1">
        <v>7.2</v>
      </c>
      <c r="D517" t="s">
        <v>29</v>
      </c>
    </row>
    <row r="518" spans="1:4" x14ac:dyDescent="0.25">
      <c r="A518" t="s">
        <v>66</v>
      </c>
      <c r="B518" s="2">
        <v>45680</v>
      </c>
      <c r="C518" s="1">
        <v>7.2</v>
      </c>
      <c r="D518" t="s">
        <v>29</v>
      </c>
    </row>
    <row r="519" spans="1:4" x14ac:dyDescent="0.25">
      <c r="A519" t="s">
        <v>105</v>
      </c>
      <c r="B519" s="2">
        <v>45659</v>
      </c>
      <c r="C519" s="1">
        <v>6</v>
      </c>
      <c r="D519" t="s">
        <v>29</v>
      </c>
    </row>
    <row r="520" spans="1:4" x14ac:dyDescent="0.25">
      <c r="A520" t="s">
        <v>68</v>
      </c>
      <c r="B520" s="2">
        <v>45660</v>
      </c>
      <c r="C520" s="1">
        <v>6</v>
      </c>
      <c r="D520" t="s">
        <v>29</v>
      </c>
    </row>
    <row r="521" spans="1:4" x14ac:dyDescent="0.25">
      <c r="A521" t="s">
        <v>143</v>
      </c>
      <c r="B521" s="2">
        <v>45661</v>
      </c>
      <c r="C521" s="1">
        <v>6</v>
      </c>
      <c r="D521" t="s">
        <v>29</v>
      </c>
    </row>
    <row r="522" spans="1:4" x14ac:dyDescent="0.25">
      <c r="A522" t="s">
        <v>144</v>
      </c>
      <c r="B522" s="2">
        <v>45688</v>
      </c>
      <c r="C522" s="1">
        <v>0.98</v>
      </c>
      <c r="D522" t="s">
        <v>29</v>
      </c>
    </row>
    <row r="523" spans="1:4" x14ac:dyDescent="0.25">
      <c r="A523" t="s">
        <v>65</v>
      </c>
      <c r="B523" s="2">
        <v>45659</v>
      </c>
      <c r="C523" s="1">
        <v>7.2</v>
      </c>
      <c r="D523" t="s">
        <v>29</v>
      </c>
    </row>
    <row r="524" spans="1:4" x14ac:dyDescent="0.25">
      <c r="A524" t="s">
        <v>84</v>
      </c>
      <c r="B524" s="2">
        <v>45660</v>
      </c>
      <c r="C524" s="1">
        <v>7.2</v>
      </c>
      <c r="D524" t="s">
        <v>29</v>
      </c>
    </row>
    <row r="525" spans="1:4" x14ac:dyDescent="0.25">
      <c r="A525" t="s">
        <v>65</v>
      </c>
      <c r="B525" s="2">
        <v>45667</v>
      </c>
      <c r="C525" s="1">
        <v>7.2</v>
      </c>
      <c r="D525" t="s">
        <v>29</v>
      </c>
    </row>
    <row r="526" spans="1:4" x14ac:dyDescent="0.25">
      <c r="A526" t="s">
        <v>137</v>
      </c>
      <c r="B526" s="2">
        <v>45672</v>
      </c>
      <c r="C526" s="1">
        <v>3.85</v>
      </c>
      <c r="D526" t="s">
        <v>29</v>
      </c>
    </row>
    <row r="527" spans="1:4" x14ac:dyDescent="0.25">
      <c r="A527" t="s">
        <v>73</v>
      </c>
      <c r="B527" s="2">
        <v>45673</v>
      </c>
      <c r="C527" s="1">
        <v>7.2</v>
      </c>
      <c r="D527" t="s">
        <v>29</v>
      </c>
    </row>
    <row r="528" spans="1:4" x14ac:dyDescent="0.25">
      <c r="A528" t="s">
        <v>122</v>
      </c>
      <c r="B528" s="2">
        <v>45674</v>
      </c>
      <c r="C528" s="1">
        <v>7.2</v>
      </c>
      <c r="D528" t="s">
        <v>29</v>
      </c>
    </row>
    <row r="529" spans="1:4" x14ac:dyDescent="0.25">
      <c r="A529" t="s">
        <v>104</v>
      </c>
      <c r="B529" s="2">
        <v>45659</v>
      </c>
      <c r="C529" s="1">
        <v>6</v>
      </c>
      <c r="D529" t="s">
        <v>29</v>
      </c>
    </row>
    <row r="530" spans="1:4" x14ac:dyDescent="0.25">
      <c r="A530" t="s">
        <v>126</v>
      </c>
      <c r="B530" s="2">
        <v>45660</v>
      </c>
      <c r="C530" s="1">
        <v>6</v>
      </c>
      <c r="D530" t="s">
        <v>29</v>
      </c>
    </row>
    <row r="531" spans="1:4" x14ac:dyDescent="0.25">
      <c r="A531" t="s">
        <v>119</v>
      </c>
      <c r="B531" s="2">
        <v>45661</v>
      </c>
      <c r="C531" s="1">
        <v>6</v>
      </c>
      <c r="D531" t="s">
        <v>29</v>
      </c>
    </row>
    <row r="532" spans="1:4" x14ac:dyDescent="0.25">
      <c r="A532" t="s">
        <v>66</v>
      </c>
      <c r="B532" s="2">
        <v>45684</v>
      </c>
      <c r="C532" s="1">
        <v>6</v>
      </c>
      <c r="D532" t="s">
        <v>29</v>
      </c>
    </row>
    <row r="533" spans="1:4" x14ac:dyDescent="0.25">
      <c r="A533" t="s">
        <v>130</v>
      </c>
      <c r="B533" s="2">
        <v>45659</v>
      </c>
      <c r="C533" s="1">
        <v>7.2</v>
      </c>
      <c r="D533" t="s">
        <v>29</v>
      </c>
    </row>
    <row r="534" spans="1:4" x14ac:dyDescent="0.25">
      <c r="A534" t="s">
        <v>129</v>
      </c>
      <c r="B534" s="2">
        <v>45660</v>
      </c>
      <c r="C534" s="1">
        <v>7.2</v>
      </c>
      <c r="D534" t="s">
        <v>29</v>
      </c>
    </row>
    <row r="535" spans="1:4" x14ac:dyDescent="0.25">
      <c r="A535" t="s">
        <v>65</v>
      </c>
      <c r="B535" s="2">
        <v>45661</v>
      </c>
      <c r="C535" s="1">
        <v>7.2</v>
      </c>
      <c r="D535" t="s">
        <v>29</v>
      </c>
    </row>
    <row r="536" spans="1:4" x14ac:dyDescent="0.25">
      <c r="A536" t="s">
        <v>90</v>
      </c>
      <c r="B536" s="2">
        <v>45664</v>
      </c>
      <c r="C536" s="1">
        <v>1.63</v>
      </c>
      <c r="D536" t="s">
        <v>29</v>
      </c>
    </row>
    <row r="537" spans="1:4" x14ac:dyDescent="0.25">
      <c r="A537" t="s">
        <v>81</v>
      </c>
      <c r="B537" s="2">
        <v>45665</v>
      </c>
      <c r="C537" s="1">
        <v>7.2</v>
      </c>
      <c r="D537" t="s">
        <v>29</v>
      </c>
    </row>
    <row r="538" spans="1:4" x14ac:dyDescent="0.25">
      <c r="A538" t="s">
        <v>129</v>
      </c>
      <c r="B538" s="2">
        <v>45666</v>
      </c>
      <c r="C538" s="1">
        <v>7.2</v>
      </c>
      <c r="D538" t="s">
        <v>29</v>
      </c>
    </row>
    <row r="539" spans="1:4" x14ac:dyDescent="0.25">
      <c r="A539" t="s">
        <v>124</v>
      </c>
      <c r="B539" s="2">
        <v>45667</v>
      </c>
      <c r="C539" s="1">
        <v>7.2</v>
      </c>
      <c r="D539" t="s">
        <v>29</v>
      </c>
    </row>
    <row r="540" spans="1:4" x14ac:dyDescent="0.25">
      <c r="A540" t="s">
        <v>66</v>
      </c>
      <c r="B540" s="2">
        <v>45668</v>
      </c>
      <c r="C540" s="1">
        <v>7.2</v>
      </c>
      <c r="D540" t="s">
        <v>29</v>
      </c>
    </row>
    <row r="541" spans="1:4" x14ac:dyDescent="0.25">
      <c r="A541" t="s">
        <v>119</v>
      </c>
      <c r="B541" s="2">
        <v>45673</v>
      </c>
      <c r="C541" s="1">
        <v>7.2</v>
      </c>
      <c r="D541" t="s">
        <v>29</v>
      </c>
    </row>
    <row r="542" spans="1:4" x14ac:dyDescent="0.25">
      <c r="A542" t="s">
        <v>129</v>
      </c>
      <c r="B542" s="2">
        <v>45659</v>
      </c>
      <c r="C542" s="1">
        <v>7.2</v>
      </c>
      <c r="D542" t="s">
        <v>29</v>
      </c>
    </row>
    <row r="543" spans="1:4" x14ac:dyDescent="0.25">
      <c r="A543" t="s">
        <v>115</v>
      </c>
      <c r="B543" s="2">
        <v>45660</v>
      </c>
      <c r="C543" s="1">
        <v>7.2</v>
      </c>
      <c r="D543" t="s">
        <v>29</v>
      </c>
    </row>
    <row r="544" spans="1:4" x14ac:dyDescent="0.25">
      <c r="A544" t="s">
        <v>95</v>
      </c>
      <c r="B544" s="2">
        <v>45673</v>
      </c>
      <c r="C544" s="1">
        <v>0.25</v>
      </c>
      <c r="D544" t="s">
        <v>29</v>
      </c>
    </row>
    <row r="545" spans="1:4" x14ac:dyDescent="0.25">
      <c r="A545" t="s">
        <v>123</v>
      </c>
      <c r="B545" s="2">
        <v>45674</v>
      </c>
      <c r="C545" s="1">
        <v>0.25</v>
      </c>
      <c r="D545" t="s">
        <v>29</v>
      </c>
    </row>
    <row r="546" spans="1:4" x14ac:dyDescent="0.25">
      <c r="A546" t="s">
        <v>93</v>
      </c>
      <c r="B546" s="2">
        <v>45681</v>
      </c>
      <c r="C546" s="1">
        <v>0.85</v>
      </c>
      <c r="D546" t="s">
        <v>29</v>
      </c>
    </row>
    <row r="547" spans="1:4" x14ac:dyDescent="0.25">
      <c r="A547" t="s">
        <v>107</v>
      </c>
      <c r="B547" s="2">
        <v>45688</v>
      </c>
      <c r="C547" s="1">
        <v>0.5</v>
      </c>
      <c r="D547" t="s">
        <v>29</v>
      </c>
    </row>
    <row r="548" spans="1:4" x14ac:dyDescent="0.25">
      <c r="A548" t="s">
        <v>74</v>
      </c>
      <c r="B548" s="2">
        <v>45659</v>
      </c>
      <c r="C548" s="1">
        <v>6</v>
      </c>
      <c r="D548" t="s">
        <v>29</v>
      </c>
    </row>
    <row r="549" spans="1:4" x14ac:dyDescent="0.25">
      <c r="A549" t="s">
        <v>76</v>
      </c>
      <c r="B549" s="2">
        <v>45660</v>
      </c>
      <c r="C549" s="1">
        <v>6</v>
      </c>
      <c r="D549" t="s">
        <v>29</v>
      </c>
    </row>
    <row r="550" spans="1:4" x14ac:dyDescent="0.25">
      <c r="A550" t="s">
        <v>76</v>
      </c>
      <c r="B550" s="2">
        <v>45661</v>
      </c>
      <c r="C550" s="1">
        <v>6</v>
      </c>
      <c r="D550" t="s">
        <v>29</v>
      </c>
    </row>
    <row r="551" spans="1:4" x14ac:dyDescent="0.25">
      <c r="A551" t="s">
        <v>137</v>
      </c>
      <c r="B551" s="2">
        <v>45670</v>
      </c>
      <c r="C551" s="1">
        <v>6</v>
      </c>
      <c r="D551" t="s">
        <v>29</v>
      </c>
    </row>
    <row r="552" spans="1:4" x14ac:dyDescent="0.25">
      <c r="A552" t="s">
        <v>107</v>
      </c>
      <c r="B552" s="2">
        <v>45679</v>
      </c>
      <c r="C552" s="1">
        <v>7</v>
      </c>
      <c r="D552" t="s">
        <v>29</v>
      </c>
    </row>
    <row r="553" spans="1:4" x14ac:dyDescent="0.25">
      <c r="A553" t="s">
        <v>102</v>
      </c>
      <c r="B553" s="2">
        <v>45667</v>
      </c>
      <c r="C553" s="1">
        <v>1.2</v>
      </c>
      <c r="D553" t="s">
        <v>29</v>
      </c>
    </row>
    <row r="554" spans="1:4" x14ac:dyDescent="0.25">
      <c r="A554" t="s">
        <v>77</v>
      </c>
      <c r="B554" s="2">
        <v>45672</v>
      </c>
      <c r="C554" s="1">
        <v>7</v>
      </c>
      <c r="D554" t="s">
        <v>29</v>
      </c>
    </row>
    <row r="555" spans="1:4" x14ac:dyDescent="0.25">
      <c r="A555" t="s">
        <v>114</v>
      </c>
      <c r="B555" s="2">
        <v>45684</v>
      </c>
      <c r="C555" s="1">
        <v>7.2</v>
      </c>
      <c r="D555" t="s">
        <v>29</v>
      </c>
    </row>
    <row r="556" spans="1:4" x14ac:dyDescent="0.25">
      <c r="A556" t="s">
        <v>94</v>
      </c>
      <c r="B556" s="2">
        <v>45659</v>
      </c>
      <c r="C556" s="1">
        <v>7.2</v>
      </c>
      <c r="D556" t="s">
        <v>29</v>
      </c>
    </row>
    <row r="557" spans="1:4" x14ac:dyDescent="0.25">
      <c r="A557" t="s">
        <v>101</v>
      </c>
      <c r="B557" s="2">
        <v>45660</v>
      </c>
      <c r="C557" s="1">
        <v>7.2</v>
      </c>
      <c r="D557" t="s">
        <v>29</v>
      </c>
    </row>
    <row r="558" spans="1:4" x14ac:dyDescent="0.25">
      <c r="A558" t="s">
        <v>124</v>
      </c>
      <c r="B558" s="2">
        <v>45664</v>
      </c>
      <c r="C558" s="1">
        <v>7.2</v>
      </c>
      <c r="D558" t="s">
        <v>29</v>
      </c>
    </row>
    <row r="559" spans="1:4" x14ac:dyDescent="0.25">
      <c r="A559" t="s">
        <v>98</v>
      </c>
      <c r="B559" s="2">
        <v>45665</v>
      </c>
      <c r="C559" s="1">
        <v>7.2</v>
      </c>
      <c r="D559" t="s">
        <v>29</v>
      </c>
    </row>
    <row r="560" spans="1:4" x14ac:dyDescent="0.25">
      <c r="A560" t="s">
        <v>74</v>
      </c>
      <c r="B560" s="2">
        <v>45666</v>
      </c>
      <c r="C560" s="1">
        <v>7.2</v>
      </c>
      <c r="D560" t="s">
        <v>29</v>
      </c>
    </row>
    <row r="561" spans="1:4" x14ac:dyDescent="0.25">
      <c r="A561" t="s">
        <v>72</v>
      </c>
      <c r="B561" s="2">
        <v>45667</v>
      </c>
      <c r="C561" s="1">
        <v>7.2</v>
      </c>
      <c r="D561" t="s">
        <v>29</v>
      </c>
    </row>
    <row r="562" spans="1:4" x14ac:dyDescent="0.25">
      <c r="A562" t="s">
        <v>118</v>
      </c>
      <c r="B562" s="2">
        <v>45684</v>
      </c>
      <c r="C562" s="1">
        <v>7.2</v>
      </c>
      <c r="D562" t="s">
        <v>29</v>
      </c>
    </row>
    <row r="563" spans="1:4" x14ac:dyDescent="0.25">
      <c r="A563" t="s">
        <v>128</v>
      </c>
      <c r="B563" s="2">
        <v>45686</v>
      </c>
      <c r="C563" s="1">
        <v>0.33</v>
      </c>
      <c r="D563" t="s">
        <v>29</v>
      </c>
    </row>
    <row r="564" spans="1:4" x14ac:dyDescent="0.25">
      <c r="A564" t="s">
        <v>116</v>
      </c>
      <c r="B564" s="2">
        <v>45659</v>
      </c>
      <c r="C564" s="1">
        <v>8</v>
      </c>
      <c r="D564" t="s">
        <v>29</v>
      </c>
    </row>
    <row r="565" spans="1:4" x14ac:dyDescent="0.25">
      <c r="A565" t="s">
        <v>98</v>
      </c>
      <c r="B565" s="2">
        <v>45660</v>
      </c>
      <c r="C565" s="1">
        <v>6</v>
      </c>
      <c r="D565" t="s">
        <v>29</v>
      </c>
    </row>
    <row r="566" spans="1:4" x14ac:dyDescent="0.25">
      <c r="A566" t="s">
        <v>71</v>
      </c>
      <c r="B566" s="2">
        <v>45660</v>
      </c>
      <c r="C566" s="1">
        <v>7.6</v>
      </c>
      <c r="D566" t="s">
        <v>29</v>
      </c>
    </row>
    <row r="567" spans="1:4" x14ac:dyDescent="0.25">
      <c r="A567" t="s">
        <v>136</v>
      </c>
      <c r="B567" s="2">
        <v>45659</v>
      </c>
      <c r="C567" s="1">
        <v>7.2</v>
      </c>
      <c r="D567" t="s">
        <v>29</v>
      </c>
    </row>
    <row r="568" spans="1:4" x14ac:dyDescent="0.25">
      <c r="A568" t="s">
        <v>92</v>
      </c>
      <c r="B568" s="2">
        <v>45660</v>
      </c>
      <c r="C568" s="1">
        <v>7.2</v>
      </c>
      <c r="D568" t="s">
        <v>29</v>
      </c>
    </row>
    <row r="569" spans="1:4" x14ac:dyDescent="0.25">
      <c r="A569" t="s">
        <v>147</v>
      </c>
      <c r="B569" s="2">
        <v>45659</v>
      </c>
      <c r="C569" s="1">
        <v>6</v>
      </c>
      <c r="D569" t="s">
        <v>29</v>
      </c>
    </row>
    <row r="570" spans="1:4" x14ac:dyDescent="0.25">
      <c r="A570" t="s">
        <v>128</v>
      </c>
      <c r="B570" s="2">
        <v>45660</v>
      </c>
      <c r="C570" s="1">
        <v>6</v>
      </c>
      <c r="D570" t="s">
        <v>29</v>
      </c>
    </row>
    <row r="571" spans="1:4" x14ac:dyDescent="0.25">
      <c r="A571" t="s">
        <v>141</v>
      </c>
      <c r="B571" s="2">
        <v>45661</v>
      </c>
      <c r="C571" s="1">
        <v>6</v>
      </c>
      <c r="D571" t="s">
        <v>29</v>
      </c>
    </row>
    <row r="572" spans="1:4" x14ac:dyDescent="0.25">
      <c r="A572" t="s">
        <v>130</v>
      </c>
      <c r="B572" s="2">
        <v>45659</v>
      </c>
      <c r="C572" s="1">
        <v>6.32</v>
      </c>
      <c r="D572" t="s">
        <v>29</v>
      </c>
    </row>
    <row r="573" spans="1:4" x14ac:dyDescent="0.25">
      <c r="A573" t="s">
        <v>112</v>
      </c>
      <c r="B573" s="2">
        <v>45660</v>
      </c>
      <c r="C573" s="1">
        <v>6.32</v>
      </c>
      <c r="D573" t="s">
        <v>29</v>
      </c>
    </row>
    <row r="574" spans="1:4" x14ac:dyDescent="0.25">
      <c r="A574" t="s">
        <v>145</v>
      </c>
      <c r="B574" s="2">
        <v>45667</v>
      </c>
      <c r="C574" s="1">
        <v>6.32</v>
      </c>
      <c r="D574" t="s">
        <v>29</v>
      </c>
    </row>
    <row r="575" spans="1:4" x14ac:dyDescent="0.25">
      <c r="A575" t="s">
        <v>141</v>
      </c>
      <c r="B575" s="2">
        <v>45670</v>
      </c>
      <c r="C575" s="1">
        <v>6.32</v>
      </c>
      <c r="D575" t="s">
        <v>29</v>
      </c>
    </row>
    <row r="576" spans="1:4" x14ac:dyDescent="0.25">
      <c r="A576" t="s">
        <v>115</v>
      </c>
      <c r="B576" s="2">
        <v>45677</v>
      </c>
      <c r="C576" s="1">
        <v>0.32</v>
      </c>
      <c r="D576" t="s">
        <v>29</v>
      </c>
    </row>
    <row r="577" spans="1:4" x14ac:dyDescent="0.25">
      <c r="A577" t="s">
        <v>124</v>
      </c>
      <c r="B577" s="2">
        <v>45659</v>
      </c>
      <c r="C577" s="1">
        <v>7.2</v>
      </c>
      <c r="D577" t="s">
        <v>29</v>
      </c>
    </row>
    <row r="578" spans="1:4" x14ac:dyDescent="0.25">
      <c r="A578" t="s">
        <v>128</v>
      </c>
      <c r="B578" s="2">
        <v>45660</v>
      </c>
      <c r="C578" s="1">
        <v>7.2</v>
      </c>
      <c r="D578" t="s">
        <v>29</v>
      </c>
    </row>
    <row r="579" spans="1:4" x14ac:dyDescent="0.25">
      <c r="A579" t="s">
        <v>68</v>
      </c>
      <c r="B579" s="2">
        <v>45686</v>
      </c>
      <c r="C579" s="1">
        <v>1.1499999999999999</v>
      </c>
      <c r="D579" t="s">
        <v>29</v>
      </c>
    </row>
    <row r="580" spans="1:4" x14ac:dyDescent="0.25">
      <c r="A580" t="s">
        <v>100</v>
      </c>
      <c r="B580" s="2">
        <v>45659</v>
      </c>
      <c r="C580" s="1">
        <v>7</v>
      </c>
      <c r="D580" t="s">
        <v>29</v>
      </c>
    </row>
    <row r="581" spans="1:4" x14ac:dyDescent="0.25">
      <c r="A581" t="s">
        <v>97</v>
      </c>
      <c r="B581" s="2">
        <v>45660</v>
      </c>
      <c r="C581" s="1">
        <v>7</v>
      </c>
      <c r="D581" t="s">
        <v>29</v>
      </c>
    </row>
    <row r="582" spans="1:4" x14ac:dyDescent="0.25">
      <c r="A582" t="s">
        <v>81</v>
      </c>
      <c r="B582" s="2">
        <v>45681</v>
      </c>
      <c r="C582" s="1">
        <v>1</v>
      </c>
      <c r="D582" t="s">
        <v>29</v>
      </c>
    </row>
    <row r="583" spans="1:4" x14ac:dyDescent="0.25">
      <c r="A583" t="s">
        <v>141</v>
      </c>
      <c r="B583" s="2">
        <v>45659</v>
      </c>
      <c r="C583" s="1">
        <v>7.2</v>
      </c>
      <c r="D583" t="s">
        <v>29</v>
      </c>
    </row>
    <row r="584" spans="1:4" x14ac:dyDescent="0.25">
      <c r="A584" t="s">
        <v>103</v>
      </c>
      <c r="B584" s="2">
        <v>45660</v>
      </c>
      <c r="C584" s="1">
        <v>7.2</v>
      </c>
      <c r="D584" t="s">
        <v>29</v>
      </c>
    </row>
    <row r="585" spans="1:4" x14ac:dyDescent="0.25">
      <c r="A585" t="s">
        <v>117</v>
      </c>
      <c r="B585" s="2">
        <v>45674</v>
      </c>
      <c r="C585" s="1">
        <v>0.93</v>
      </c>
      <c r="D585" t="s">
        <v>29</v>
      </c>
    </row>
    <row r="586" spans="1:4" x14ac:dyDescent="0.25">
      <c r="A586" t="s">
        <v>97</v>
      </c>
      <c r="B586" s="2">
        <v>45659</v>
      </c>
      <c r="C586" s="1">
        <v>7.2</v>
      </c>
      <c r="D586" t="s">
        <v>29</v>
      </c>
    </row>
    <row r="587" spans="1:4" x14ac:dyDescent="0.25">
      <c r="A587" t="s">
        <v>120</v>
      </c>
      <c r="B587" s="2">
        <v>45660</v>
      </c>
      <c r="C587" s="1">
        <v>7.2</v>
      </c>
      <c r="D587" t="s">
        <v>29</v>
      </c>
    </row>
    <row r="588" spans="1:4" x14ac:dyDescent="0.25">
      <c r="A588" t="s">
        <v>68</v>
      </c>
      <c r="B588" s="2">
        <v>45666</v>
      </c>
      <c r="C588" s="1">
        <v>7.2</v>
      </c>
      <c r="D588" t="s">
        <v>29</v>
      </c>
    </row>
    <row r="589" spans="1:4" x14ac:dyDescent="0.25">
      <c r="A589" t="s">
        <v>78</v>
      </c>
      <c r="B589" s="2">
        <v>45667</v>
      </c>
      <c r="C589" s="1">
        <v>7.2</v>
      </c>
      <c r="D589" t="s">
        <v>29</v>
      </c>
    </row>
    <row r="590" spans="1:4" x14ac:dyDescent="0.25">
      <c r="A590" t="s">
        <v>82</v>
      </c>
      <c r="B590" s="2">
        <v>45661</v>
      </c>
      <c r="C590" s="1">
        <v>6</v>
      </c>
      <c r="D590" t="s">
        <v>29</v>
      </c>
    </row>
    <row r="591" spans="1:4" x14ac:dyDescent="0.25">
      <c r="A591" t="s">
        <v>74</v>
      </c>
      <c r="B591" s="2">
        <v>45682</v>
      </c>
      <c r="C591" s="1">
        <v>1</v>
      </c>
      <c r="D591" t="s">
        <v>29</v>
      </c>
    </row>
    <row r="592" spans="1:4" x14ac:dyDescent="0.25">
      <c r="A592" t="s">
        <v>146</v>
      </c>
      <c r="B592" s="2">
        <v>45659</v>
      </c>
      <c r="C592" s="1">
        <v>6.33</v>
      </c>
      <c r="D592" t="s">
        <v>29</v>
      </c>
    </row>
    <row r="593" spans="1:4" x14ac:dyDescent="0.25">
      <c r="A593" t="s">
        <v>126</v>
      </c>
      <c r="B593" s="2">
        <v>45661</v>
      </c>
      <c r="C593" s="1">
        <v>6.33</v>
      </c>
      <c r="D593" t="s">
        <v>29</v>
      </c>
    </row>
    <row r="594" spans="1:4" x14ac:dyDescent="0.25">
      <c r="A594" t="s">
        <v>94</v>
      </c>
      <c r="B594" s="2">
        <v>45668</v>
      </c>
      <c r="C594" s="1">
        <v>6.33</v>
      </c>
      <c r="D594" t="s">
        <v>29</v>
      </c>
    </row>
    <row r="595" spans="1:4" x14ac:dyDescent="0.25">
      <c r="A595" t="s">
        <v>125</v>
      </c>
      <c r="B595" s="2">
        <v>45682</v>
      </c>
      <c r="C595" s="1">
        <v>6.33</v>
      </c>
      <c r="D595" t="s">
        <v>29</v>
      </c>
    </row>
    <row r="596" spans="1:4" x14ac:dyDescent="0.25">
      <c r="A596" t="s">
        <v>100</v>
      </c>
      <c r="B596" s="2">
        <v>45659</v>
      </c>
      <c r="C596" s="1">
        <v>6</v>
      </c>
      <c r="D596" t="s">
        <v>29</v>
      </c>
    </row>
    <row r="597" spans="1:4" x14ac:dyDescent="0.25">
      <c r="A597" t="s">
        <v>125</v>
      </c>
      <c r="B597" s="2">
        <v>45660</v>
      </c>
      <c r="C597" s="1">
        <v>6</v>
      </c>
      <c r="D597" t="s">
        <v>29</v>
      </c>
    </row>
    <row r="598" spans="1:4" x14ac:dyDescent="0.25">
      <c r="A598" t="s">
        <v>81</v>
      </c>
      <c r="B598" s="2">
        <v>45665</v>
      </c>
      <c r="C598" s="1">
        <v>1.63</v>
      </c>
      <c r="D598" t="s">
        <v>29</v>
      </c>
    </row>
    <row r="599" spans="1:4" x14ac:dyDescent="0.25">
      <c r="A599" t="s">
        <v>120</v>
      </c>
      <c r="B599" s="2">
        <v>45659</v>
      </c>
      <c r="C599" s="1">
        <v>7.2</v>
      </c>
      <c r="D599" t="s">
        <v>29</v>
      </c>
    </row>
    <row r="600" spans="1:4" x14ac:dyDescent="0.25">
      <c r="A600" t="s">
        <v>139</v>
      </c>
      <c r="B600" s="2">
        <v>45688</v>
      </c>
      <c r="C600" s="1">
        <v>7.2</v>
      </c>
      <c r="D600" t="s">
        <v>29</v>
      </c>
    </row>
    <row r="601" spans="1:4" x14ac:dyDescent="0.25">
      <c r="A601" t="s">
        <v>140</v>
      </c>
      <c r="B601" s="2">
        <v>45659</v>
      </c>
      <c r="C601" s="1">
        <v>6</v>
      </c>
      <c r="D601" t="s">
        <v>29</v>
      </c>
    </row>
    <row r="602" spans="1:4" x14ac:dyDescent="0.25">
      <c r="A602" t="s">
        <v>72</v>
      </c>
      <c r="B602" s="2">
        <v>45660</v>
      </c>
      <c r="C602" s="1">
        <v>6</v>
      </c>
      <c r="D602" t="s">
        <v>29</v>
      </c>
    </row>
    <row r="603" spans="1:4" x14ac:dyDescent="0.25">
      <c r="A603" t="s">
        <v>112</v>
      </c>
      <c r="B603" s="2">
        <v>45661</v>
      </c>
      <c r="C603" s="1">
        <v>7</v>
      </c>
      <c r="D603" t="s">
        <v>29</v>
      </c>
    </row>
    <row r="604" spans="1:4" x14ac:dyDescent="0.25">
      <c r="A604" t="s">
        <v>104</v>
      </c>
      <c r="B604" s="2">
        <v>45659</v>
      </c>
      <c r="C604" s="1">
        <v>7.2</v>
      </c>
      <c r="D604" t="s">
        <v>29</v>
      </c>
    </row>
    <row r="605" spans="1:4" x14ac:dyDescent="0.25">
      <c r="A605" t="s">
        <v>86</v>
      </c>
      <c r="B605" s="2">
        <v>45660</v>
      </c>
      <c r="C605" s="1">
        <v>7.2</v>
      </c>
      <c r="D605" t="s">
        <v>29</v>
      </c>
    </row>
    <row r="606" spans="1:4" x14ac:dyDescent="0.25">
      <c r="A606" t="s">
        <v>142</v>
      </c>
      <c r="B606" s="2">
        <v>45664</v>
      </c>
      <c r="C606" s="1">
        <v>1.5</v>
      </c>
      <c r="D606" t="s">
        <v>29</v>
      </c>
    </row>
    <row r="607" spans="1:4" x14ac:dyDescent="0.25">
      <c r="A607" t="s">
        <v>125</v>
      </c>
      <c r="B607" s="2">
        <v>45665</v>
      </c>
      <c r="C607" s="1">
        <v>0.5</v>
      </c>
      <c r="D607" t="s">
        <v>29</v>
      </c>
    </row>
    <row r="608" spans="1:4" x14ac:dyDescent="0.25">
      <c r="A608" t="s">
        <v>95</v>
      </c>
      <c r="B608" s="2">
        <v>45666</v>
      </c>
      <c r="C608" s="1">
        <v>0.23</v>
      </c>
      <c r="D608" t="s">
        <v>29</v>
      </c>
    </row>
    <row r="609" spans="1:4" x14ac:dyDescent="0.25">
      <c r="A609" t="s">
        <v>82</v>
      </c>
      <c r="B609" s="2">
        <v>45667</v>
      </c>
      <c r="C609" s="1">
        <v>7.6</v>
      </c>
      <c r="D609" t="s">
        <v>29</v>
      </c>
    </row>
    <row r="610" spans="1:4" x14ac:dyDescent="0.25">
      <c r="A610" t="s">
        <v>102</v>
      </c>
      <c r="B610" s="2">
        <v>45659</v>
      </c>
      <c r="C610" s="1">
        <v>7.6</v>
      </c>
      <c r="D610" t="s">
        <v>29</v>
      </c>
    </row>
    <row r="611" spans="1:4" x14ac:dyDescent="0.25">
      <c r="A611" t="s">
        <v>101</v>
      </c>
      <c r="B611" s="2">
        <v>45660</v>
      </c>
      <c r="C611" s="1">
        <v>7.6</v>
      </c>
      <c r="D611" t="s">
        <v>29</v>
      </c>
    </row>
    <row r="612" spans="1:4" x14ac:dyDescent="0.25">
      <c r="A612" t="s">
        <v>128</v>
      </c>
      <c r="B612" s="2">
        <v>45674</v>
      </c>
      <c r="C612" s="1">
        <v>1.57</v>
      </c>
      <c r="D612" t="s">
        <v>29</v>
      </c>
    </row>
    <row r="613" spans="1:4" x14ac:dyDescent="0.25">
      <c r="A613" t="s">
        <v>128</v>
      </c>
      <c r="B613" s="2">
        <v>45677</v>
      </c>
      <c r="C613" s="1">
        <v>0.48</v>
      </c>
      <c r="D613" t="s">
        <v>29</v>
      </c>
    </row>
    <row r="614" spans="1:4" x14ac:dyDescent="0.25">
      <c r="A614" t="s">
        <v>76</v>
      </c>
      <c r="B614" s="2">
        <v>45685</v>
      </c>
      <c r="C614" s="1">
        <v>0.28000000000000003</v>
      </c>
      <c r="D614" t="s">
        <v>29</v>
      </c>
    </row>
    <row r="615" spans="1:4" x14ac:dyDescent="0.25">
      <c r="A615" t="s">
        <v>114</v>
      </c>
      <c r="B615" s="2">
        <v>45686</v>
      </c>
      <c r="C615" s="1">
        <v>1.2</v>
      </c>
      <c r="D615" t="s">
        <v>29</v>
      </c>
    </row>
    <row r="616" spans="1:4" x14ac:dyDescent="0.25">
      <c r="A616" t="s">
        <v>128</v>
      </c>
      <c r="B616" s="2">
        <v>45665</v>
      </c>
      <c r="C616" s="1">
        <v>6</v>
      </c>
      <c r="D616" t="s">
        <v>29</v>
      </c>
    </row>
    <row r="617" spans="1:4" x14ac:dyDescent="0.25">
      <c r="A617" t="s">
        <v>133</v>
      </c>
      <c r="B617" s="2">
        <v>45666</v>
      </c>
      <c r="C617" s="1">
        <v>6</v>
      </c>
      <c r="D617" t="s">
        <v>29</v>
      </c>
    </row>
    <row r="618" spans="1:4" x14ac:dyDescent="0.25">
      <c r="A618" t="s">
        <v>100</v>
      </c>
      <c r="B618" s="2">
        <v>45667</v>
      </c>
      <c r="C618" s="1">
        <v>6</v>
      </c>
      <c r="D618" t="s">
        <v>29</v>
      </c>
    </row>
    <row r="619" spans="1:4" x14ac:dyDescent="0.25">
      <c r="A619" t="s">
        <v>110</v>
      </c>
      <c r="B619" s="2">
        <v>45668</v>
      </c>
      <c r="C619" s="1">
        <v>6</v>
      </c>
      <c r="D619" t="s">
        <v>29</v>
      </c>
    </row>
    <row r="620" spans="1:4" x14ac:dyDescent="0.25">
      <c r="A620" t="s">
        <v>94</v>
      </c>
      <c r="B620" s="2">
        <v>45670</v>
      </c>
      <c r="C620" s="1">
        <v>6</v>
      </c>
      <c r="D620" t="s">
        <v>29</v>
      </c>
    </row>
    <row r="621" spans="1:4" x14ac:dyDescent="0.25">
      <c r="A621" t="s">
        <v>106</v>
      </c>
      <c r="B621" s="2">
        <v>45671</v>
      </c>
      <c r="C621" s="1">
        <v>6</v>
      </c>
      <c r="D621" t="s">
        <v>29</v>
      </c>
    </row>
    <row r="622" spans="1:4" x14ac:dyDescent="0.25">
      <c r="A622" t="s">
        <v>115</v>
      </c>
      <c r="B622" s="2">
        <v>45672</v>
      </c>
      <c r="C622" s="1">
        <v>6</v>
      </c>
      <c r="D622" t="s">
        <v>29</v>
      </c>
    </row>
    <row r="623" spans="1:4" x14ac:dyDescent="0.25">
      <c r="A623" t="s">
        <v>96</v>
      </c>
      <c r="B623" s="2">
        <v>45673</v>
      </c>
      <c r="C623" s="1">
        <v>6</v>
      </c>
      <c r="D623" t="s">
        <v>29</v>
      </c>
    </row>
    <row r="624" spans="1:4" x14ac:dyDescent="0.25">
      <c r="A624" t="s">
        <v>98</v>
      </c>
      <c r="B624" s="2">
        <v>45674</v>
      </c>
      <c r="C624" s="1">
        <v>6</v>
      </c>
      <c r="D624" t="s">
        <v>29</v>
      </c>
    </row>
    <row r="625" spans="1:4" x14ac:dyDescent="0.25">
      <c r="A625" t="s">
        <v>68</v>
      </c>
      <c r="B625" s="2">
        <v>45675</v>
      </c>
      <c r="C625" s="1">
        <v>6</v>
      </c>
      <c r="D625" t="s">
        <v>29</v>
      </c>
    </row>
    <row r="626" spans="1:4" x14ac:dyDescent="0.25">
      <c r="A626" t="s">
        <v>81</v>
      </c>
      <c r="B626" s="2">
        <v>45677</v>
      </c>
      <c r="C626" s="1">
        <v>6</v>
      </c>
      <c r="D626" t="s">
        <v>29</v>
      </c>
    </row>
    <row r="627" spans="1:4" x14ac:dyDescent="0.25">
      <c r="A627" t="s">
        <v>66</v>
      </c>
      <c r="B627" s="2">
        <v>45678</v>
      </c>
      <c r="C627" s="1">
        <v>6</v>
      </c>
      <c r="D627" t="s">
        <v>29</v>
      </c>
    </row>
    <row r="628" spans="1:4" x14ac:dyDescent="0.25">
      <c r="A628" t="s">
        <v>66</v>
      </c>
      <c r="B628" s="2">
        <v>45679</v>
      </c>
      <c r="C628" s="1">
        <v>6</v>
      </c>
      <c r="D628" t="s">
        <v>29</v>
      </c>
    </row>
    <row r="629" spans="1:4" x14ac:dyDescent="0.25">
      <c r="A629" t="s">
        <v>75</v>
      </c>
      <c r="B629" s="2">
        <v>45680</v>
      </c>
      <c r="C629" s="1">
        <v>6</v>
      </c>
      <c r="D629" t="s">
        <v>29</v>
      </c>
    </row>
    <row r="630" spans="1:4" x14ac:dyDescent="0.25">
      <c r="A630" t="s">
        <v>108</v>
      </c>
      <c r="B630" s="2">
        <v>45681</v>
      </c>
      <c r="C630" s="1">
        <v>6</v>
      </c>
      <c r="D630" t="s">
        <v>29</v>
      </c>
    </row>
    <row r="631" spans="1:4" x14ac:dyDescent="0.25">
      <c r="A631" t="s">
        <v>128</v>
      </c>
      <c r="B631" s="2">
        <v>45660</v>
      </c>
      <c r="C631" s="1">
        <v>0.42</v>
      </c>
      <c r="D631" t="s">
        <v>29</v>
      </c>
    </row>
    <row r="632" spans="1:4" x14ac:dyDescent="0.25">
      <c r="A632" t="s">
        <v>109</v>
      </c>
      <c r="B632" s="2">
        <v>45677</v>
      </c>
      <c r="C632" s="1">
        <v>0.75</v>
      </c>
      <c r="D632" t="s">
        <v>29</v>
      </c>
    </row>
    <row r="633" spans="1:4" x14ac:dyDescent="0.25">
      <c r="A633" t="s">
        <v>65</v>
      </c>
      <c r="B633" s="2">
        <v>45659</v>
      </c>
      <c r="C633" s="1">
        <v>7.2</v>
      </c>
      <c r="D633" t="s">
        <v>29</v>
      </c>
    </row>
    <row r="634" spans="1:4" x14ac:dyDescent="0.25">
      <c r="A634" t="s">
        <v>93</v>
      </c>
      <c r="B634" s="2">
        <v>45660</v>
      </c>
      <c r="C634" s="1">
        <v>7.2</v>
      </c>
      <c r="D634" t="s">
        <v>29</v>
      </c>
    </row>
    <row r="635" spans="1:4" x14ac:dyDescent="0.25">
      <c r="A635" t="s">
        <v>144</v>
      </c>
      <c r="B635" s="2">
        <v>45673</v>
      </c>
      <c r="C635" s="1">
        <v>2.93</v>
      </c>
      <c r="D635" t="s">
        <v>29</v>
      </c>
    </row>
    <row r="636" spans="1:4" x14ac:dyDescent="0.25">
      <c r="A636" t="s">
        <v>103</v>
      </c>
      <c r="B636" s="2">
        <v>45674</v>
      </c>
      <c r="C636" s="1">
        <v>2</v>
      </c>
      <c r="D636" t="s">
        <v>29</v>
      </c>
    </row>
    <row r="637" spans="1:4" x14ac:dyDescent="0.25">
      <c r="A637" t="s">
        <v>97</v>
      </c>
      <c r="B637" s="2">
        <v>45688</v>
      </c>
      <c r="C637" s="1">
        <v>7.2</v>
      </c>
      <c r="D637" t="s">
        <v>29</v>
      </c>
    </row>
    <row r="638" spans="1:4" x14ac:dyDescent="0.25">
      <c r="A638" t="s">
        <v>65</v>
      </c>
      <c r="B638" s="2">
        <v>45659</v>
      </c>
      <c r="C638" s="1">
        <v>6</v>
      </c>
      <c r="D638" t="s">
        <v>29</v>
      </c>
    </row>
    <row r="639" spans="1:4" x14ac:dyDescent="0.25">
      <c r="A639" t="s">
        <v>130</v>
      </c>
      <c r="B639" s="2">
        <v>45660</v>
      </c>
      <c r="C639" s="1">
        <v>6</v>
      </c>
      <c r="D639" t="s">
        <v>29</v>
      </c>
    </row>
    <row r="640" spans="1:4" x14ac:dyDescent="0.25">
      <c r="A640" t="s">
        <v>127</v>
      </c>
      <c r="B640" s="2">
        <v>45679</v>
      </c>
      <c r="C640" s="1">
        <v>2.97</v>
      </c>
      <c r="D640" t="s">
        <v>29</v>
      </c>
    </row>
    <row r="641" spans="1:4" x14ac:dyDescent="0.25">
      <c r="A641" t="s">
        <v>100</v>
      </c>
      <c r="B641" s="2">
        <v>45672</v>
      </c>
      <c r="C641" s="1">
        <v>2.5</v>
      </c>
      <c r="D641" t="s">
        <v>29</v>
      </c>
    </row>
    <row r="642" spans="1:4" x14ac:dyDescent="0.25">
      <c r="A642" t="s">
        <v>112</v>
      </c>
      <c r="B642" s="2">
        <v>45659</v>
      </c>
      <c r="C642" s="1">
        <v>6</v>
      </c>
      <c r="D642" t="s">
        <v>29</v>
      </c>
    </row>
    <row r="643" spans="1:4" x14ac:dyDescent="0.25">
      <c r="A643" t="s">
        <v>80</v>
      </c>
      <c r="B643" s="2">
        <v>45660</v>
      </c>
      <c r="C643" s="1">
        <v>6</v>
      </c>
      <c r="D643" t="s">
        <v>29</v>
      </c>
    </row>
    <row r="644" spans="1:4" x14ac:dyDescent="0.25">
      <c r="A644" t="s">
        <v>108</v>
      </c>
      <c r="B644" s="2">
        <v>45674</v>
      </c>
      <c r="C644" s="1">
        <v>0.45</v>
      </c>
      <c r="D644" t="s">
        <v>29</v>
      </c>
    </row>
    <row r="645" spans="1:4" x14ac:dyDescent="0.25">
      <c r="A645" t="s">
        <v>84</v>
      </c>
      <c r="B645" s="2">
        <v>45659</v>
      </c>
      <c r="C645" s="1">
        <v>7.2</v>
      </c>
      <c r="D645" t="s">
        <v>29</v>
      </c>
    </row>
    <row r="646" spans="1:4" x14ac:dyDescent="0.25">
      <c r="A646" t="s">
        <v>123</v>
      </c>
      <c r="B646" s="2">
        <v>45660</v>
      </c>
      <c r="C646" s="1">
        <v>7.2</v>
      </c>
      <c r="D646" t="s">
        <v>29</v>
      </c>
    </row>
    <row r="647" spans="1:4" x14ac:dyDescent="0.25">
      <c r="A647" t="s">
        <v>111</v>
      </c>
      <c r="B647" s="2">
        <v>45674</v>
      </c>
      <c r="C647" s="1">
        <v>1</v>
      </c>
      <c r="D647" t="s">
        <v>29</v>
      </c>
    </row>
    <row r="648" spans="1:4" x14ac:dyDescent="0.25">
      <c r="A648" t="s">
        <v>101</v>
      </c>
      <c r="B648" s="2">
        <v>45659</v>
      </c>
      <c r="C648" s="1">
        <v>7.2</v>
      </c>
      <c r="D648" t="s">
        <v>29</v>
      </c>
    </row>
    <row r="649" spans="1:4" x14ac:dyDescent="0.25">
      <c r="A649" t="s">
        <v>126</v>
      </c>
      <c r="B649" s="2">
        <v>45660</v>
      </c>
      <c r="C649" s="1">
        <v>7.2</v>
      </c>
      <c r="D649" t="s">
        <v>29</v>
      </c>
    </row>
    <row r="650" spans="1:4" x14ac:dyDescent="0.25">
      <c r="A650" t="s">
        <v>148</v>
      </c>
      <c r="B650" s="2">
        <v>45664</v>
      </c>
      <c r="C650" s="1">
        <v>7.2</v>
      </c>
      <c r="D650" t="s">
        <v>29</v>
      </c>
    </row>
    <row r="651" spans="1:4" x14ac:dyDescent="0.25">
      <c r="A651" t="s">
        <v>104</v>
      </c>
      <c r="B651" s="2">
        <v>45659</v>
      </c>
      <c r="C651" s="1">
        <v>6</v>
      </c>
      <c r="D651" t="s">
        <v>29</v>
      </c>
    </row>
    <row r="652" spans="1:4" x14ac:dyDescent="0.25">
      <c r="A652" t="s">
        <v>65</v>
      </c>
      <c r="B652" s="2">
        <v>45660</v>
      </c>
      <c r="C652" s="1">
        <v>6</v>
      </c>
      <c r="D652" t="s">
        <v>29</v>
      </c>
    </row>
    <row r="653" spans="1:4" x14ac:dyDescent="0.25">
      <c r="A653" t="s">
        <v>113</v>
      </c>
      <c r="B653" s="2">
        <v>45661</v>
      </c>
      <c r="C653" s="1">
        <v>6</v>
      </c>
      <c r="D653" t="s">
        <v>29</v>
      </c>
    </row>
    <row r="654" spans="1:4" x14ac:dyDescent="0.25">
      <c r="A654" t="s">
        <v>147</v>
      </c>
      <c r="B654" s="2">
        <v>45659</v>
      </c>
      <c r="C654" s="1">
        <v>6</v>
      </c>
      <c r="D654" t="s">
        <v>29</v>
      </c>
    </row>
    <row r="655" spans="1:4" x14ac:dyDescent="0.25">
      <c r="A655" t="s">
        <v>133</v>
      </c>
      <c r="B655" s="2">
        <v>45660</v>
      </c>
      <c r="C655" s="1">
        <v>6</v>
      </c>
      <c r="D655" t="s">
        <v>29</v>
      </c>
    </row>
    <row r="656" spans="1:4" x14ac:dyDescent="0.25">
      <c r="A656" t="s">
        <v>146</v>
      </c>
      <c r="B656" s="2">
        <v>45661</v>
      </c>
      <c r="C656" s="1">
        <v>6</v>
      </c>
      <c r="D656" t="s">
        <v>29</v>
      </c>
    </row>
    <row r="657" spans="1:4" x14ac:dyDescent="0.25">
      <c r="A657" t="s">
        <v>115</v>
      </c>
      <c r="B657" s="2">
        <v>45668</v>
      </c>
      <c r="C657" s="1">
        <v>0.95</v>
      </c>
      <c r="D657" t="s">
        <v>29</v>
      </c>
    </row>
    <row r="658" spans="1:4" x14ac:dyDescent="0.25">
      <c r="A658" t="s">
        <v>95</v>
      </c>
      <c r="B658" s="2">
        <v>45659</v>
      </c>
      <c r="C658" s="1">
        <v>7.2</v>
      </c>
      <c r="D658" t="s">
        <v>29</v>
      </c>
    </row>
    <row r="659" spans="1:4" x14ac:dyDescent="0.25">
      <c r="A659" t="s">
        <v>98</v>
      </c>
      <c r="B659" s="2">
        <v>45659</v>
      </c>
      <c r="C659" s="1">
        <v>7.2</v>
      </c>
      <c r="D659" t="s">
        <v>29</v>
      </c>
    </row>
    <row r="660" spans="1:4" x14ac:dyDescent="0.25">
      <c r="A660" t="s">
        <v>84</v>
      </c>
      <c r="B660" s="2">
        <v>45660</v>
      </c>
      <c r="C660" s="1">
        <v>7.2</v>
      </c>
      <c r="D660" t="s">
        <v>29</v>
      </c>
    </row>
    <row r="661" spans="1:4" x14ac:dyDescent="0.25">
      <c r="A661" t="s">
        <v>106</v>
      </c>
      <c r="B661" s="2">
        <v>45664</v>
      </c>
      <c r="C661" s="1">
        <v>7.2</v>
      </c>
      <c r="D661" t="s">
        <v>29</v>
      </c>
    </row>
    <row r="662" spans="1:4" x14ac:dyDescent="0.25">
      <c r="A662" t="s">
        <v>78</v>
      </c>
      <c r="B662" s="2">
        <v>45665</v>
      </c>
      <c r="C662" s="1">
        <v>7.2</v>
      </c>
      <c r="D662" t="s">
        <v>29</v>
      </c>
    </row>
    <row r="663" spans="1:4" x14ac:dyDescent="0.25">
      <c r="A663" t="s">
        <v>68</v>
      </c>
      <c r="B663" s="2">
        <v>45666</v>
      </c>
      <c r="C663" s="1">
        <v>7.2</v>
      </c>
      <c r="D663" t="s">
        <v>29</v>
      </c>
    </row>
    <row r="664" spans="1:4" x14ac:dyDescent="0.25">
      <c r="A664" t="s">
        <v>80</v>
      </c>
      <c r="B664" s="2">
        <v>45667</v>
      </c>
      <c r="C664" s="1">
        <v>7.2</v>
      </c>
      <c r="D664" t="s">
        <v>29</v>
      </c>
    </row>
    <row r="665" spans="1:4" x14ac:dyDescent="0.25">
      <c r="A665" t="s">
        <v>81</v>
      </c>
      <c r="B665" s="2">
        <v>45659</v>
      </c>
      <c r="C665" s="1">
        <v>6</v>
      </c>
      <c r="D665" t="s">
        <v>29</v>
      </c>
    </row>
    <row r="666" spans="1:4" x14ac:dyDescent="0.25">
      <c r="A666" t="s">
        <v>148</v>
      </c>
      <c r="B666" s="2">
        <v>45660</v>
      </c>
      <c r="C666" s="1">
        <v>6</v>
      </c>
      <c r="D666" t="s">
        <v>29</v>
      </c>
    </row>
    <row r="667" spans="1:4" x14ac:dyDescent="0.25">
      <c r="A667" t="s">
        <v>116</v>
      </c>
      <c r="B667" s="2">
        <v>45661</v>
      </c>
      <c r="C667" s="1">
        <v>6</v>
      </c>
      <c r="D667" t="s">
        <v>29</v>
      </c>
    </row>
    <row r="668" spans="1:4" x14ac:dyDescent="0.25">
      <c r="A668" t="s">
        <v>131</v>
      </c>
      <c r="B668" s="2">
        <v>45688</v>
      </c>
      <c r="C668" s="1">
        <v>6.42</v>
      </c>
      <c r="D668" t="s">
        <v>29</v>
      </c>
    </row>
    <row r="669" spans="1:4" x14ac:dyDescent="0.25">
      <c r="A669" t="s">
        <v>138</v>
      </c>
      <c r="B669" s="2">
        <v>45667</v>
      </c>
      <c r="C669" s="1">
        <v>7.2</v>
      </c>
      <c r="D669" t="s">
        <v>29</v>
      </c>
    </row>
    <row r="670" spans="1:4" x14ac:dyDescent="0.25">
      <c r="A670" t="s">
        <v>128</v>
      </c>
      <c r="B670" s="2">
        <v>45670</v>
      </c>
      <c r="C670" s="1">
        <v>7.2</v>
      </c>
      <c r="D670" t="s">
        <v>29</v>
      </c>
    </row>
    <row r="671" spans="1:4" x14ac:dyDescent="0.25">
      <c r="A671" t="s">
        <v>98</v>
      </c>
      <c r="B671" s="2">
        <v>45671</v>
      </c>
      <c r="C671" s="1">
        <v>7.2</v>
      </c>
      <c r="D671" t="s">
        <v>29</v>
      </c>
    </row>
    <row r="672" spans="1:4" x14ac:dyDescent="0.25">
      <c r="A672" t="s">
        <v>90</v>
      </c>
      <c r="B672" s="2">
        <v>45674</v>
      </c>
      <c r="C672" s="1">
        <v>0.95</v>
      </c>
      <c r="D672" t="s">
        <v>29</v>
      </c>
    </row>
    <row r="673" spans="1:4" x14ac:dyDescent="0.25">
      <c r="A673" t="s">
        <v>70</v>
      </c>
      <c r="B673" s="2">
        <v>45681</v>
      </c>
      <c r="C673" s="1">
        <v>0.95</v>
      </c>
      <c r="D673" t="s">
        <v>29</v>
      </c>
    </row>
    <row r="674" spans="1:4" x14ac:dyDescent="0.25">
      <c r="A674" t="s">
        <v>80</v>
      </c>
      <c r="B674" s="2">
        <v>45688</v>
      </c>
      <c r="C674" s="1">
        <v>0.9</v>
      </c>
      <c r="D674" t="s">
        <v>29</v>
      </c>
    </row>
    <row r="675" spans="1:4" x14ac:dyDescent="0.25">
      <c r="A675" t="s">
        <v>124</v>
      </c>
      <c r="B675" s="2">
        <v>45659</v>
      </c>
      <c r="C675" s="1">
        <v>6</v>
      </c>
      <c r="D675" t="s">
        <v>29</v>
      </c>
    </row>
    <row r="676" spans="1:4" x14ac:dyDescent="0.25">
      <c r="A676" t="s">
        <v>140</v>
      </c>
      <c r="B676" s="2">
        <v>45677</v>
      </c>
      <c r="C676" s="1">
        <v>6</v>
      </c>
      <c r="D676" t="s">
        <v>29</v>
      </c>
    </row>
    <row r="677" spans="1:4" x14ac:dyDescent="0.25">
      <c r="A677" t="s">
        <v>129</v>
      </c>
      <c r="B677" s="2">
        <v>45659</v>
      </c>
      <c r="C677" s="1">
        <v>7.6</v>
      </c>
      <c r="D677" t="s">
        <v>29</v>
      </c>
    </row>
    <row r="678" spans="1:4" x14ac:dyDescent="0.25">
      <c r="A678" t="s">
        <v>67</v>
      </c>
      <c r="B678" s="2">
        <v>45660</v>
      </c>
      <c r="C678" s="1">
        <v>7.6</v>
      </c>
      <c r="D678" t="s">
        <v>29</v>
      </c>
    </row>
    <row r="679" spans="1:4" x14ac:dyDescent="0.25">
      <c r="A679" t="s">
        <v>135</v>
      </c>
      <c r="B679" s="2">
        <v>45660</v>
      </c>
      <c r="C679" s="1">
        <v>2.3199999999999998</v>
      </c>
      <c r="D679" t="s">
        <v>29</v>
      </c>
    </row>
    <row r="680" spans="1:4" x14ac:dyDescent="0.25">
      <c r="A680" t="s">
        <v>102</v>
      </c>
      <c r="B680" s="2">
        <v>45661</v>
      </c>
      <c r="C680" s="1">
        <v>6</v>
      </c>
      <c r="D680" t="s">
        <v>29</v>
      </c>
    </row>
    <row r="681" spans="1:4" x14ac:dyDescent="0.25">
      <c r="A681" t="s">
        <v>119</v>
      </c>
      <c r="B681" s="2">
        <v>45659</v>
      </c>
      <c r="C681" s="1">
        <v>6</v>
      </c>
      <c r="D681" t="s">
        <v>29</v>
      </c>
    </row>
    <row r="682" spans="1:4" x14ac:dyDescent="0.25">
      <c r="A682" t="s">
        <v>67</v>
      </c>
      <c r="B682" s="2">
        <v>45660</v>
      </c>
      <c r="C682" s="1">
        <v>6</v>
      </c>
      <c r="D682" t="s">
        <v>29</v>
      </c>
    </row>
    <row r="683" spans="1:4" x14ac:dyDescent="0.25">
      <c r="A683" t="s">
        <v>144</v>
      </c>
      <c r="B683" s="2">
        <v>45661</v>
      </c>
      <c r="C683" s="1">
        <v>6</v>
      </c>
      <c r="D683" t="s">
        <v>29</v>
      </c>
    </row>
    <row r="684" spans="1:4" x14ac:dyDescent="0.25">
      <c r="A684" t="s">
        <v>118</v>
      </c>
      <c r="B684" s="2">
        <v>45659</v>
      </c>
      <c r="C684" s="1">
        <v>7.2</v>
      </c>
      <c r="D684" t="s">
        <v>29</v>
      </c>
    </row>
    <row r="685" spans="1:4" x14ac:dyDescent="0.25">
      <c r="A685" t="s">
        <v>99</v>
      </c>
      <c r="B685" s="2">
        <v>45660</v>
      </c>
      <c r="C685" s="1">
        <v>7.2</v>
      </c>
      <c r="D685" t="s">
        <v>29</v>
      </c>
    </row>
    <row r="686" spans="1:4" x14ac:dyDescent="0.25">
      <c r="A686" t="s">
        <v>124</v>
      </c>
      <c r="B686" s="2">
        <v>45659</v>
      </c>
      <c r="C686" s="1">
        <v>7.2</v>
      </c>
      <c r="D686" t="s">
        <v>29</v>
      </c>
    </row>
    <row r="687" spans="1:4" x14ac:dyDescent="0.25">
      <c r="A687" t="s">
        <v>87</v>
      </c>
      <c r="B687" s="2">
        <v>45660</v>
      </c>
      <c r="C687" s="1">
        <v>7.2</v>
      </c>
      <c r="D687" t="s">
        <v>29</v>
      </c>
    </row>
    <row r="688" spans="1:4" x14ac:dyDescent="0.25">
      <c r="A688" t="s">
        <v>65</v>
      </c>
      <c r="B688" s="2">
        <v>45666</v>
      </c>
      <c r="C688" s="1">
        <v>2.27</v>
      </c>
      <c r="D688" t="s">
        <v>29</v>
      </c>
    </row>
    <row r="689" spans="1:4" x14ac:dyDescent="0.25">
      <c r="A689" t="s">
        <v>68</v>
      </c>
      <c r="B689" s="2">
        <v>45685</v>
      </c>
      <c r="C689" s="1">
        <v>0.67</v>
      </c>
      <c r="D689" t="s">
        <v>29</v>
      </c>
    </row>
    <row r="690" spans="1:4" x14ac:dyDescent="0.25">
      <c r="A690" t="s">
        <v>99</v>
      </c>
      <c r="B690" s="2">
        <v>45659</v>
      </c>
      <c r="C690" s="1">
        <v>7.2</v>
      </c>
      <c r="D690" t="s">
        <v>29</v>
      </c>
    </row>
    <row r="691" spans="1:4" x14ac:dyDescent="0.25">
      <c r="A691" t="s">
        <v>78</v>
      </c>
      <c r="B691" s="2">
        <v>45660</v>
      </c>
      <c r="C691" s="1">
        <v>7.2</v>
      </c>
      <c r="D691" t="s">
        <v>29</v>
      </c>
    </row>
    <row r="692" spans="1:4" x14ac:dyDescent="0.25">
      <c r="A692" t="s">
        <v>138</v>
      </c>
      <c r="B692" s="2">
        <v>45659</v>
      </c>
      <c r="C692" s="1">
        <v>6</v>
      </c>
      <c r="D692" t="s">
        <v>29</v>
      </c>
    </row>
    <row r="693" spans="1:4" x14ac:dyDescent="0.25">
      <c r="A693" t="s">
        <v>149</v>
      </c>
      <c r="B693" s="2">
        <v>45660</v>
      </c>
      <c r="C693" s="1">
        <v>6</v>
      </c>
      <c r="D693" t="s">
        <v>29</v>
      </c>
    </row>
    <row r="694" spans="1:4" x14ac:dyDescent="0.25">
      <c r="A694" t="s">
        <v>120</v>
      </c>
      <c r="B694" s="2">
        <v>45661</v>
      </c>
      <c r="C694" s="1">
        <v>6</v>
      </c>
      <c r="D694" t="s">
        <v>29</v>
      </c>
    </row>
    <row r="695" spans="1:4" x14ac:dyDescent="0.25">
      <c r="A695" t="s">
        <v>68</v>
      </c>
      <c r="B695" s="2">
        <v>45664</v>
      </c>
      <c r="C695" s="1">
        <v>6</v>
      </c>
      <c r="D695" t="s">
        <v>29</v>
      </c>
    </row>
    <row r="696" spans="1:4" x14ac:dyDescent="0.25">
      <c r="A696" t="s">
        <v>106</v>
      </c>
      <c r="B696" s="2">
        <v>45660</v>
      </c>
      <c r="C696" s="1">
        <v>1.35</v>
      </c>
      <c r="D696" t="s">
        <v>29</v>
      </c>
    </row>
    <row r="697" spans="1:4" x14ac:dyDescent="0.25">
      <c r="A697" t="s">
        <v>101</v>
      </c>
      <c r="B697" s="2">
        <v>45664</v>
      </c>
      <c r="C697" s="1">
        <v>2.0699999999999998</v>
      </c>
      <c r="D697" t="s">
        <v>29</v>
      </c>
    </row>
    <row r="698" spans="1:4" x14ac:dyDescent="0.25">
      <c r="A698" t="s">
        <v>137</v>
      </c>
      <c r="B698" s="2">
        <v>45684</v>
      </c>
      <c r="C698" s="1">
        <v>7.2</v>
      </c>
      <c r="D698" t="s">
        <v>29</v>
      </c>
    </row>
    <row r="699" spans="1:4" x14ac:dyDescent="0.25">
      <c r="A699" t="s">
        <v>105</v>
      </c>
      <c r="B699" s="2">
        <v>45688</v>
      </c>
      <c r="C699" s="1">
        <v>7.2</v>
      </c>
      <c r="D699" t="s">
        <v>29</v>
      </c>
    </row>
    <row r="700" spans="1:4" x14ac:dyDescent="0.25">
      <c r="A700" t="s">
        <v>125</v>
      </c>
      <c r="B700" s="2">
        <v>45659</v>
      </c>
      <c r="C700" s="1">
        <v>7.2</v>
      </c>
      <c r="D700" t="s">
        <v>29</v>
      </c>
    </row>
    <row r="701" spans="1:4" x14ac:dyDescent="0.25">
      <c r="A701" t="s">
        <v>96</v>
      </c>
      <c r="B701" s="2">
        <v>45660</v>
      </c>
      <c r="C701" s="1">
        <v>7.2</v>
      </c>
      <c r="D701" t="s">
        <v>29</v>
      </c>
    </row>
    <row r="702" spans="1:4" x14ac:dyDescent="0.25">
      <c r="A702" t="s">
        <v>146</v>
      </c>
      <c r="B702" s="2">
        <v>45664</v>
      </c>
      <c r="C702" s="1">
        <v>0.62</v>
      </c>
      <c r="D702" t="s">
        <v>29</v>
      </c>
    </row>
    <row r="703" spans="1:4" x14ac:dyDescent="0.25">
      <c r="A703" t="s">
        <v>94</v>
      </c>
      <c r="B703" s="2">
        <v>45665</v>
      </c>
      <c r="C703" s="1">
        <v>0.27</v>
      </c>
      <c r="D703" t="s">
        <v>29</v>
      </c>
    </row>
    <row r="704" spans="1:4" x14ac:dyDescent="0.25">
      <c r="A704" t="s">
        <v>71</v>
      </c>
      <c r="B704" s="2">
        <v>45666</v>
      </c>
      <c r="C704" s="1">
        <v>0.28000000000000003</v>
      </c>
      <c r="D704" t="s">
        <v>29</v>
      </c>
    </row>
    <row r="705" spans="1:4" x14ac:dyDescent="0.25">
      <c r="A705" t="s">
        <v>97</v>
      </c>
      <c r="B705" s="2">
        <v>45670</v>
      </c>
      <c r="C705" s="1">
        <v>0.5</v>
      </c>
      <c r="D705" t="s">
        <v>29</v>
      </c>
    </row>
    <row r="706" spans="1:4" x14ac:dyDescent="0.25">
      <c r="A706" t="s">
        <v>94</v>
      </c>
      <c r="B706" s="2">
        <v>45678</v>
      </c>
      <c r="C706" s="1">
        <v>0.82</v>
      </c>
      <c r="D706" t="s">
        <v>29</v>
      </c>
    </row>
    <row r="707" spans="1:4" x14ac:dyDescent="0.25">
      <c r="A707" t="s">
        <v>102</v>
      </c>
      <c r="B707" s="2">
        <v>45679</v>
      </c>
      <c r="C707" s="1">
        <v>0.23</v>
      </c>
      <c r="D707" t="s">
        <v>29</v>
      </c>
    </row>
    <row r="708" spans="1:4" x14ac:dyDescent="0.25">
      <c r="A708" t="s">
        <v>141</v>
      </c>
      <c r="B708" s="2">
        <v>45685</v>
      </c>
      <c r="C708" s="1">
        <v>0.93</v>
      </c>
      <c r="D708" t="s">
        <v>29</v>
      </c>
    </row>
    <row r="709" spans="1:4" x14ac:dyDescent="0.25">
      <c r="A709" t="s">
        <v>107</v>
      </c>
      <c r="B709" s="2">
        <v>45659</v>
      </c>
      <c r="C709" s="1">
        <v>7.2</v>
      </c>
      <c r="D709" t="s">
        <v>29</v>
      </c>
    </row>
    <row r="710" spans="1:4" x14ac:dyDescent="0.25">
      <c r="A710" t="s">
        <v>91</v>
      </c>
      <c r="B710" s="2">
        <v>45660</v>
      </c>
      <c r="C710" s="1">
        <v>7.2</v>
      </c>
      <c r="D710" t="s">
        <v>29</v>
      </c>
    </row>
    <row r="711" spans="1:4" x14ac:dyDescent="0.25">
      <c r="A711" t="s">
        <v>137</v>
      </c>
      <c r="B711" s="2">
        <v>45659</v>
      </c>
      <c r="C711" s="1">
        <v>6</v>
      </c>
      <c r="D711" t="s">
        <v>29</v>
      </c>
    </row>
    <row r="712" spans="1:4" x14ac:dyDescent="0.25">
      <c r="A712" t="s">
        <v>65</v>
      </c>
      <c r="B712" s="2">
        <v>45660</v>
      </c>
      <c r="C712" s="1">
        <v>6</v>
      </c>
      <c r="D712" t="s">
        <v>29</v>
      </c>
    </row>
    <row r="713" spans="1:4" x14ac:dyDescent="0.25">
      <c r="A713" t="s">
        <v>146</v>
      </c>
      <c r="B713" s="2">
        <v>45661</v>
      </c>
      <c r="C713" s="1">
        <v>7</v>
      </c>
      <c r="D713" t="s">
        <v>29</v>
      </c>
    </row>
    <row r="714" spans="1:4" x14ac:dyDescent="0.25">
      <c r="A714" t="s">
        <v>99</v>
      </c>
      <c r="B714" s="2">
        <v>45673</v>
      </c>
      <c r="C714" s="1">
        <v>6</v>
      </c>
      <c r="D714" t="s">
        <v>29</v>
      </c>
    </row>
    <row r="715" spans="1:4" x14ac:dyDescent="0.25">
      <c r="A715" t="s">
        <v>127</v>
      </c>
      <c r="B715" s="2">
        <v>45675</v>
      </c>
      <c r="C715" s="1">
        <v>2.08</v>
      </c>
      <c r="D715" t="s">
        <v>29</v>
      </c>
    </row>
    <row r="716" spans="1:4" x14ac:dyDescent="0.25">
      <c r="A716" t="s">
        <v>72</v>
      </c>
      <c r="B716" s="2">
        <v>45677</v>
      </c>
      <c r="C716" s="1">
        <v>6</v>
      </c>
      <c r="D716" t="s">
        <v>29</v>
      </c>
    </row>
    <row r="717" spans="1:4" x14ac:dyDescent="0.25">
      <c r="A717" t="s">
        <v>113</v>
      </c>
      <c r="B717" s="2">
        <v>45679</v>
      </c>
      <c r="C717" s="1">
        <v>10</v>
      </c>
      <c r="D717" t="s">
        <v>29</v>
      </c>
    </row>
    <row r="718" spans="1:4" x14ac:dyDescent="0.25">
      <c r="A718" t="s">
        <v>102</v>
      </c>
      <c r="B718" s="2">
        <v>45680</v>
      </c>
      <c r="C718" s="1">
        <v>6</v>
      </c>
      <c r="D718" t="s">
        <v>29</v>
      </c>
    </row>
    <row r="719" spans="1:4" x14ac:dyDescent="0.25">
      <c r="A719" t="s">
        <v>88</v>
      </c>
      <c r="B719" s="2">
        <v>45682</v>
      </c>
      <c r="C719" s="1">
        <v>1</v>
      </c>
      <c r="D719" t="s">
        <v>29</v>
      </c>
    </row>
    <row r="720" spans="1:4" x14ac:dyDescent="0.25">
      <c r="A720" t="s">
        <v>120</v>
      </c>
      <c r="B720" s="2">
        <v>45659</v>
      </c>
      <c r="C720" s="1">
        <v>7.2</v>
      </c>
      <c r="D720" t="s">
        <v>29</v>
      </c>
    </row>
    <row r="721" spans="1:4" x14ac:dyDescent="0.25">
      <c r="A721" t="s">
        <v>128</v>
      </c>
      <c r="B721" s="2">
        <v>45660</v>
      </c>
      <c r="C721" s="1">
        <v>7.2</v>
      </c>
      <c r="D721" t="s">
        <v>29</v>
      </c>
    </row>
    <row r="722" spans="1:4" x14ac:dyDescent="0.25">
      <c r="A722" t="s">
        <v>101</v>
      </c>
      <c r="B722" s="2">
        <v>45660</v>
      </c>
      <c r="C722" s="1">
        <v>6</v>
      </c>
      <c r="D722" t="s">
        <v>29</v>
      </c>
    </row>
    <row r="723" spans="1:4" x14ac:dyDescent="0.25">
      <c r="A723" t="s">
        <v>72</v>
      </c>
      <c r="B723" s="2">
        <v>45661</v>
      </c>
      <c r="C723" s="1">
        <v>6</v>
      </c>
      <c r="D723" t="s">
        <v>29</v>
      </c>
    </row>
    <row r="724" spans="1:4" x14ac:dyDescent="0.25">
      <c r="A724" t="s">
        <v>92</v>
      </c>
      <c r="B724" s="2">
        <v>45677</v>
      </c>
      <c r="C724" s="1">
        <v>0.98</v>
      </c>
      <c r="D724" t="s">
        <v>29</v>
      </c>
    </row>
    <row r="725" spans="1:4" x14ac:dyDescent="0.25">
      <c r="A725" t="s">
        <v>126</v>
      </c>
      <c r="B725" s="2">
        <v>45660</v>
      </c>
      <c r="C725" s="1">
        <v>6</v>
      </c>
      <c r="D725" t="s">
        <v>29</v>
      </c>
    </row>
    <row r="726" spans="1:4" x14ac:dyDescent="0.25">
      <c r="A726" t="s">
        <v>111</v>
      </c>
      <c r="B726" s="2">
        <v>45659</v>
      </c>
      <c r="C726" s="1">
        <v>7.2</v>
      </c>
      <c r="D726" t="s">
        <v>29</v>
      </c>
    </row>
    <row r="727" spans="1:4" x14ac:dyDescent="0.25">
      <c r="A727" t="s">
        <v>97</v>
      </c>
      <c r="B727" s="2">
        <v>45660</v>
      </c>
      <c r="C727" s="1">
        <v>7.2</v>
      </c>
      <c r="D727" t="s">
        <v>29</v>
      </c>
    </row>
    <row r="728" spans="1:4" x14ac:dyDescent="0.25">
      <c r="A728" t="s">
        <v>99</v>
      </c>
      <c r="B728" s="2">
        <v>45665</v>
      </c>
      <c r="C728" s="1">
        <v>7.2</v>
      </c>
      <c r="D728" t="s">
        <v>29</v>
      </c>
    </row>
    <row r="729" spans="1:4" x14ac:dyDescent="0.25">
      <c r="A729" t="s">
        <v>125</v>
      </c>
      <c r="B729" s="2">
        <v>45664</v>
      </c>
      <c r="C729" s="1">
        <v>6</v>
      </c>
      <c r="D729" t="s">
        <v>29</v>
      </c>
    </row>
    <row r="730" spans="1:4" x14ac:dyDescent="0.25">
      <c r="A730" t="s">
        <v>116</v>
      </c>
      <c r="B730" s="2">
        <v>45659</v>
      </c>
      <c r="C730" s="1">
        <v>6</v>
      </c>
      <c r="D730" t="s">
        <v>29</v>
      </c>
    </row>
    <row r="731" spans="1:4" x14ac:dyDescent="0.25">
      <c r="A731" t="s">
        <v>100</v>
      </c>
      <c r="B731" s="2">
        <v>45660</v>
      </c>
      <c r="C731" s="1">
        <v>6</v>
      </c>
      <c r="D731" t="s">
        <v>29</v>
      </c>
    </row>
    <row r="732" spans="1:4" x14ac:dyDescent="0.25">
      <c r="A732" t="s">
        <v>73</v>
      </c>
      <c r="B732" s="2">
        <v>45661</v>
      </c>
      <c r="C732" s="1">
        <v>6</v>
      </c>
      <c r="D732" t="s">
        <v>29</v>
      </c>
    </row>
    <row r="733" spans="1:4" x14ac:dyDescent="0.25">
      <c r="A733" t="s">
        <v>65</v>
      </c>
      <c r="B733" s="2">
        <v>45667</v>
      </c>
      <c r="C733" s="1">
        <v>6</v>
      </c>
      <c r="D733" t="s">
        <v>29</v>
      </c>
    </row>
    <row r="734" spans="1:4" x14ac:dyDescent="0.25">
      <c r="A734" t="s">
        <v>141</v>
      </c>
      <c r="B734" s="2">
        <v>45687</v>
      </c>
      <c r="C734" s="1">
        <v>7</v>
      </c>
      <c r="D734" t="s">
        <v>29</v>
      </c>
    </row>
    <row r="735" spans="1:4" x14ac:dyDescent="0.25">
      <c r="A735" t="s">
        <v>124</v>
      </c>
      <c r="B735" s="2">
        <v>45659</v>
      </c>
      <c r="C735" s="1">
        <v>7.2</v>
      </c>
      <c r="D735" t="s">
        <v>29</v>
      </c>
    </row>
    <row r="736" spans="1:4" x14ac:dyDescent="0.25">
      <c r="A736" t="s">
        <v>122</v>
      </c>
      <c r="B736" s="2">
        <v>45660</v>
      </c>
      <c r="C736" s="1">
        <v>7.2</v>
      </c>
      <c r="D736" t="s">
        <v>29</v>
      </c>
    </row>
    <row r="737" spans="1:4" x14ac:dyDescent="0.25">
      <c r="A737" t="s">
        <v>104</v>
      </c>
      <c r="B737" s="2">
        <v>45659</v>
      </c>
      <c r="C737" s="1">
        <v>7.2</v>
      </c>
      <c r="D737" t="s">
        <v>29</v>
      </c>
    </row>
    <row r="738" spans="1:4" x14ac:dyDescent="0.25">
      <c r="A738" t="s">
        <v>86</v>
      </c>
      <c r="B738" s="2">
        <v>45660</v>
      </c>
      <c r="C738" s="1">
        <v>7.2</v>
      </c>
      <c r="D738" t="s">
        <v>29</v>
      </c>
    </row>
    <row r="739" spans="1:4" x14ac:dyDescent="0.25">
      <c r="A739" t="s">
        <v>117</v>
      </c>
      <c r="B739" s="2">
        <v>45665</v>
      </c>
      <c r="C739" s="1">
        <v>0.72</v>
      </c>
      <c r="D739" t="s">
        <v>29</v>
      </c>
    </row>
    <row r="740" spans="1:4" x14ac:dyDescent="0.25">
      <c r="A740" t="s">
        <v>99</v>
      </c>
      <c r="B740" s="2">
        <v>45674</v>
      </c>
      <c r="C740" s="1">
        <v>0.5</v>
      </c>
      <c r="D740" t="s">
        <v>29</v>
      </c>
    </row>
    <row r="741" spans="1:4" x14ac:dyDescent="0.25">
      <c r="A741" t="s">
        <v>83</v>
      </c>
      <c r="B741" s="2">
        <v>45681</v>
      </c>
      <c r="C741" s="1">
        <v>7</v>
      </c>
      <c r="D741" t="s">
        <v>29</v>
      </c>
    </row>
    <row r="742" spans="1:4" x14ac:dyDescent="0.25">
      <c r="A742" t="s">
        <v>104</v>
      </c>
      <c r="B742" s="2">
        <v>45659</v>
      </c>
      <c r="C742" s="1">
        <v>7.2</v>
      </c>
      <c r="D742" t="s">
        <v>29</v>
      </c>
    </row>
    <row r="743" spans="1:4" x14ac:dyDescent="0.25">
      <c r="A743" t="s">
        <v>94</v>
      </c>
      <c r="B743" s="2">
        <v>45660</v>
      </c>
      <c r="C743" s="1">
        <v>7.2</v>
      </c>
      <c r="D743" t="s">
        <v>29</v>
      </c>
    </row>
    <row r="744" spans="1:4" x14ac:dyDescent="0.25">
      <c r="A744" t="s">
        <v>102</v>
      </c>
      <c r="B744" s="2">
        <v>45661</v>
      </c>
      <c r="C744" s="1">
        <v>6</v>
      </c>
      <c r="D744" t="s">
        <v>29</v>
      </c>
    </row>
    <row r="745" spans="1:4" x14ac:dyDescent="0.25">
      <c r="A745" t="s">
        <v>133</v>
      </c>
      <c r="B745" s="2">
        <v>45665</v>
      </c>
      <c r="C745" s="1">
        <v>0.08</v>
      </c>
      <c r="D745" t="s">
        <v>29</v>
      </c>
    </row>
    <row r="746" spans="1:4" x14ac:dyDescent="0.25">
      <c r="A746" t="s">
        <v>112</v>
      </c>
      <c r="B746" s="2">
        <v>45684</v>
      </c>
      <c r="C746" s="1">
        <v>6</v>
      </c>
      <c r="D746" t="s">
        <v>29</v>
      </c>
    </row>
    <row r="747" spans="1:4" x14ac:dyDescent="0.25">
      <c r="A747" t="s">
        <v>106</v>
      </c>
      <c r="B747" s="2">
        <v>45686</v>
      </c>
      <c r="C747" s="1">
        <v>0.83</v>
      </c>
      <c r="D747" t="s">
        <v>29</v>
      </c>
    </row>
    <row r="748" spans="1:4" x14ac:dyDescent="0.25">
      <c r="A748" t="s">
        <v>142</v>
      </c>
      <c r="B748" s="2">
        <v>45687</v>
      </c>
      <c r="C748" s="1">
        <v>6</v>
      </c>
      <c r="D748" t="s">
        <v>29</v>
      </c>
    </row>
    <row r="749" spans="1:4" x14ac:dyDescent="0.25">
      <c r="A749" t="s">
        <v>107</v>
      </c>
      <c r="B749" s="2">
        <v>45659</v>
      </c>
      <c r="C749" s="1">
        <v>5</v>
      </c>
      <c r="D749" t="s">
        <v>29</v>
      </c>
    </row>
    <row r="750" spans="1:4" x14ac:dyDescent="0.25">
      <c r="A750" t="s">
        <v>125</v>
      </c>
      <c r="B750" s="2">
        <v>45660</v>
      </c>
      <c r="C750" s="1">
        <v>5</v>
      </c>
      <c r="D750" t="s">
        <v>29</v>
      </c>
    </row>
    <row r="751" spans="1:4" x14ac:dyDescent="0.25">
      <c r="A751" t="s">
        <v>148</v>
      </c>
      <c r="B751" s="2">
        <v>45680</v>
      </c>
      <c r="C751" s="1">
        <v>5</v>
      </c>
      <c r="D751" t="s">
        <v>29</v>
      </c>
    </row>
    <row r="752" spans="1:4" x14ac:dyDescent="0.25">
      <c r="A752" t="s">
        <v>132</v>
      </c>
      <c r="B752" s="2">
        <v>45681</v>
      </c>
      <c r="C752" s="1">
        <v>5</v>
      </c>
      <c r="D752" t="s">
        <v>29</v>
      </c>
    </row>
    <row r="753" spans="1:4" x14ac:dyDescent="0.25">
      <c r="A753" t="s">
        <v>90</v>
      </c>
      <c r="B753" s="2">
        <v>45659</v>
      </c>
      <c r="C753" s="1">
        <v>7.2</v>
      </c>
      <c r="D753" t="s">
        <v>29</v>
      </c>
    </row>
    <row r="754" spans="1:4" x14ac:dyDescent="0.25">
      <c r="A754" t="s">
        <v>134</v>
      </c>
      <c r="B754" s="2">
        <v>45660</v>
      </c>
      <c r="C754" s="1">
        <v>7.2</v>
      </c>
      <c r="D754" t="s">
        <v>29</v>
      </c>
    </row>
    <row r="755" spans="1:4" x14ac:dyDescent="0.25">
      <c r="A755" t="s">
        <v>101</v>
      </c>
      <c r="B755" s="2">
        <v>45681</v>
      </c>
      <c r="C755" s="1">
        <v>0.82</v>
      </c>
      <c r="D755" t="s">
        <v>29</v>
      </c>
    </row>
    <row r="756" spans="1:4" x14ac:dyDescent="0.25">
      <c r="A756" t="s">
        <v>145</v>
      </c>
      <c r="B756" s="2">
        <v>45687</v>
      </c>
      <c r="C756" s="1">
        <v>7.2</v>
      </c>
      <c r="D756" t="s">
        <v>29</v>
      </c>
    </row>
    <row r="757" spans="1:4" x14ac:dyDescent="0.25">
      <c r="A757" t="s">
        <v>147</v>
      </c>
      <c r="B757" s="2">
        <v>45688</v>
      </c>
      <c r="C757" s="1">
        <v>7.2</v>
      </c>
      <c r="D757" t="s">
        <v>29</v>
      </c>
    </row>
    <row r="758" spans="1:4" x14ac:dyDescent="0.25">
      <c r="A758" t="s">
        <v>81</v>
      </c>
      <c r="B758" s="2">
        <v>45659</v>
      </c>
      <c r="C758" s="1">
        <v>7.2</v>
      </c>
      <c r="D758" t="s">
        <v>29</v>
      </c>
    </row>
    <row r="759" spans="1:4" x14ac:dyDescent="0.25">
      <c r="A759" t="s">
        <v>72</v>
      </c>
      <c r="B759" s="2">
        <v>45660</v>
      </c>
      <c r="C759" s="1">
        <v>7.2</v>
      </c>
      <c r="D759" t="s">
        <v>29</v>
      </c>
    </row>
    <row r="760" spans="1:4" x14ac:dyDescent="0.25">
      <c r="A760" t="s">
        <v>137</v>
      </c>
      <c r="B760" s="2">
        <v>45659</v>
      </c>
      <c r="C760" s="1">
        <v>7</v>
      </c>
      <c r="D760" t="s">
        <v>29</v>
      </c>
    </row>
    <row r="761" spans="1:4" x14ac:dyDescent="0.25">
      <c r="A761" t="s">
        <v>95</v>
      </c>
      <c r="B761" s="2">
        <v>45660</v>
      </c>
      <c r="C761" s="1">
        <v>7</v>
      </c>
      <c r="D761" t="s">
        <v>29</v>
      </c>
    </row>
    <row r="762" spans="1:4" x14ac:dyDescent="0.25">
      <c r="A762" t="s">
        <v>107</v>
      </c>
      <c r="B762" s="2">
        <v>45677</v>
      </c>
      <c r="C762" s="1">
        <v>0.55000000000000004</v>
      </c>
      <c r="D762" t="s">
        <v>29</v>
      </c>
    </row>
    <row r="763" spans="1:4" x14ac:dyDescent="0.25">
      <c r="A763" t="s">
        <v>94</v>
      </c>
      <c r="B763" s="2">
        <v>45659</v>
      </c>
      <c r="C763" s="1">
        <v>6</v>
      </c>
      <c r="D763" t="s">
        <v>29</v>
      </c>
    </row>
    <row r="764" spans="1:4" x14ac:dyDescent="0.25">
      <c r="A764" t="s">
        <v>80</v>
      </c>
      <c r="B764" s="2">
        <v>45660</v>
      </c>
      <c r="C764" s="1">
        <v>6</v>
      </c>
      <c r="D764" t="s">
        <v>29</v>
      </c>
    </row>
    <row r="765" spans="1:4" x14ac:dyDescent="0.25">
      <c r="A765" t="s">
        <v>72</v>
      </c>
      <c r="B765" s="2">
        <v>45661</v>
      </c>
      <c r="C765" s="1">
        <v>6</v>
      </c>
      <c r="D765" t="s">
        <v>29</v>
      </c>
    </row>
    <row r="766" spans="1:4" x14ac:dyDescent="0.25">
      <c r="A766" t="s">
        <v>113</v>
      </c>
      <c r="B766" s="2">
        <v>45670</v>
      </c>
      <c r="C766" s="1">
        <v>2</v>
      </c>
      <c r="D766" t="s">
        <v>29</v>
      </c>
    </row>
    <row r="767" spans="1:4" x14ac:dyDescent="0.25">
      <c r="A767" t="s">
        <v>96</v>
      </c>
      <c r="B767" s="2">
        <v>45659</v>
      </c>
      <c r="C767" s="1">
        <v>7.2</v>
      </c>
      <c r="D767" t="s">
        <v>29</v>
      </c>
    </row>
    <row r="768" spans="1:4" x14ac:dyDescent="0.25">
      <c r="A768" t="s">
        <v>65</v>
      </c>
      <c r="B768" s="2">
        <v>45660</v>
      </c>
      <c r="C768" s="1">
        <v>7.2</v>
      </c>
      <c r="D768" t="s">
        <v>29</v>
      </c>
    </row>
    <row r="769" spans="1:4" x14ac:dyDescent="0.25">
      <c r="A769" t="s">
        <v>118</v>
      </c>
      <c r="B769" s="2">
        <v>45659</v>
      </c>
      <c r="C769" s="1">
        <v>7.2</v>
      </c>
      <c r="D769" t="s">
        <v>29</v>
      </c>
    </row>
    <row r="770" spans="1:4" x14ac:dyDescent="0.25">
      <c r="A770" t="s">
        <v>136</v>
      </c>
      <c r="B770" s="2">
        <v>45660</v>
      </c>
      <c r="C770" s="1">
        <v>7.2</v>
      </c>
      <c r="D770" t="s">
        <v>29</v>
      </c>
    </row>
    <row r="771" spans="1:4" x14ac:dyDescent="0.25">
      <c r="A771" t="s">
        <v>66</v>
      </c>
      <c r="B771" s="2">
        <v>45664</v>
      </c>
      <c r="C771" s="1">
        <v>7.2</v>
      </c>
      <c r="D771" t="s">
        <v>29</v>
      </c>
    </row>
    <row r="772" spans="1:4" x14ac:dyDescent="0.25">
      <c r="A772" t="s">
        <v>112</v>
      </c>
      <c r="B772" s="2">
        <v>45665</v>
      </c>
      <c r="C772" s="1">
        <v>7.2</v>
      </c>
      <c r="D772" t="s">
        <v>29</v>
      </c>
    </row>
    <row r="773" spans="1:4" x14ac:dyDescent="0.25">
      <c r="A773" t="s">
        <v>123</v>
      </c>
      <c r="B773" s="2">
        <v>45666</v>
      </c>
      <c r="C773" s="1">
        <v>7.2</v>
      </c>
      <c r="D773" t="s">
        <v>29</v>
      </c>
    </row>
    <row r="774" spans="1:4" x14ac:dyDescent="0.25">
      <c r="A774" t="s">
        <v>94</v>
      </c>
      <c r="B774" s="2">
        <v>45667</v>
      </c>
      <c r="C774" s="1">
        <v>7.2</v>
      </c>
      <c r="D774" t="s">
        <v>29</v>
      </c>
    </row>
    <row r="775" spans="1:4" x14ac:dyDescent="0.25">
      <c r="A775" t="s">
        <v>106</v>
      </c>
      <c r="B775" s="2">
        <v>45659</v>
      </c>
      <c r="C775" s="1">
        <v>7.2</v>
      </c>
      <c r="D775" t="s">
        <v>29</v>
      </c>
    </row>
    <row r="776" spans="1:4" x14ac:dyDescent="0.25">
      <c r="A776" t="s">
        <v>109</v>
      </c>
      <c r="B776" s="2">
        <v>45660</v>
      </c>
      <c r="C776" s="1">
        <v>7.2</v>
      </c>
      <c r="D776" t="s">
        <v>29</v>
      </c>
    </row>
    <row r="777" spans="1:4" x14ac:dyDescent="0.25">
      <c r="A777" t="s">
        <v>82</v>
      </c>
      <c r="B777" s="2">
        <v>45679</v>
      </c>
      <c r="C777" s="1">
        <v>4</v>
      </c>
      <c r="D777" t="s">
        <v>29</v>
      </c>
    </row>
    <row r="778" spans="1:4" x14ac:dyDescent="0.25">
      <c r="A778" t="s">
        <v>69</v>
      </c>
      <c r="B778" s="2">
        <v>45659</v>
      </c>
      <c r="C778" s="1">
        <v>7.2</v>
      </c>
      <c r="D778" t="s">
        <v>29</v>
      </c>
    </row>
    <row r="779" spans="1:4" x14ac:dyDescent="0.25">
      <c r="A779" t="s">
        <v>136</v>
      </c>
      <c r="B779" s="2">
        <v>45687</v>
      </c>
      <c r="C779" s="1">
        <v>1.6</v>
      </c>
      <c r="D779" t="s">
        <v>29</v>
      </c>
    </row>
    <row r="780" spans="1:4" x14ac:dyDescent="0.25">
      <c r="A780" t="s">
        <v>129</v>
      </c>
      <c r="B780" s="2">
        <v>45660</v>
      </c>
      <c r="C780" s="1">
        <v>7.6</v>
      </c>
      <c r="D780" t="s">
        <v>29</v>
      </c>
    </row>
    <row r="781" spans="1:4" x14ac:dyDescent="0.25">
      <c r="A781" t="s">
        <v>110</v>
      </c>
      <c r="B781" s="2">
        <v>45664</v>
      </c>
      <c r="C781" s="1">
        <v>6</v>
      </c>
      <c r="D781" t="s">
        <v>29</v>
      </c>
    </row>
    <row r="782" spans="1:4" x14ac:dyDescent="0.25">
      <c r="A782" t="s">
        <v>94</v>
      </c>
      <c r="B782" s="2">
        <v>45673</v>
      </c>
      <c r="C782" s="1">
        <v>6</v>
      </c>
      <c r="D782" t="s">
        <v>29</v>
      </c>
    </row>
    <row r="783" spans="1:4" x14ac:dyDescent="0.25">
      <c r="A783" t="s">
        <v>80</v>
      </c>
      <c r="B783" s="2">
        <v>45659</v>
      </c>
      <c r="C783" s="1">
        <v>6</v>
      </c>
      <c r="D783" t="s">
        <v>29</v>
      </c>
    </row>
    <row r="784" spans="1:4" x14ac:dyDescent="0.25">
      <c r="A784" t="s">
        <v>87</v>
      </c>
      <c r="B784" s="2">
        <v>45660</v>
      </c>
      <c r="C784" s="1">
        <v>6</v>
      </c>
      <c r="D784" t="s">
        <v>29</v>
      </c>
    </row>
    <row r="785" spans="1:4" x14ac:dyDescent="0.25">
      <c r="A785" t="s">
        <v>141</v>
      </c>
      <c r="B785" s="2">
        <v>45661</v>
      </c>
      <c r="C785" s="1">
        <v>6</v>
      </c>
      <c r="D785" t="s">
        <v>29</v>
      </c>
    </row>
    <row r="786" spans="1:4" x14ac:dyDescent="0.25">
      <c r="A786" t="s">
        <v>68</v>
      </c>
      <c r="B786" s="2">
        <v>45659</v>
      </c>
      <c r="C786" s="1">
        <v>7.2</v>
      </c>
      <c r="D786" t="s">
        <v>29</v>
      </c>
    </row>
    <row r="787" spans="1:4" x14ac:dyDescent="0.25">
      <c r="A787" t="s">
        <v>116</v>
      </c>
      <c r="B787" s="2">
        <v>45660</v>
      </c>
      <c r="C787" s="1">
        <v>7.2</v>
      </c>
      <c r="D787" t="s">
        <v>29</v>
      </c>
    </row>
    <row r="788" spans="1:4" x14ac:dyDescent="0.25">
      <c r="A788" t="s">
        <v>140</v>
      </c>
      <c r="B788" s="2">
        <v>45674</v>
      </c>
      <c r="C788" s="1">
        <v>0.48</v>
      </c>
      <c r="D788" t="s">
        <v>29</v>
      </c>
    </row>
    <row r="789" spans="1:4" x14ac:dyDescent="0.25">
      <c r="A789" t="s">
        <v>73</v>
      </c>
      <c r="B789" s="2">
        <v>45659</v>
      </c>
      <c r="C789" s="1">
        <v>1</v>
      </c>
      <c r="D789" t="s">
        <v>29</v>
      </c>
    </row>
    <row r="790" spans="1:4" x14ac:dyDescent="0.25">
      <c r="A790" t="s">
        <v>87</v>
      </c>
      <c r="B790" s="2">
        <v>45660</v>
      </c>
      <c r="C790" s="1">
        <v>1</v>
      </c>
      <c r="D790" t="s">
        <v>29</v>
      </c>
    </row>
    <row r="791" spans="1:4" x14ac:dyDescent="0.25">
      <c r="A791" t="s">
        <v>80</v>
      </c>
      <c r="B791" s="2">
        <v>45674</v>
      </c>
      <c r="C791" s="1">
        <v>7.2</v>
      </c>
      <c r="D791" t="s">
        <v>29</v>
      </c>
    </row>
    <row r="792" spans="1:4" x14ac:dyDescent="0.25">
      <c r="A792" t="s">
        <v>128</v>
      </c>
      <c r="B792" s="2">
        <v>45685</v>
      </c>
      <c r="C792" s="1">
        <v>1</v>
      </c>
      <c r="D792" t="s">
        <v>29</v>
      </c>
    </row>
    <row r="793" spans="1:4" x14ac:dyDescent="0.25">
      <c r="A793" t="s">
        <v>82</v>
      </c>
      <c r="B793" s="2">
        <v>45659</v>
      </c>
      <c r="C793" s="1">
        <v>7.2</v>
      </c>
      <c r="D793" t="s">
        <v>29</v>
      </c>
    </row>
    <row r="794" spans="1:4" x14ac:dyDescent="0.25">
      <c r="A794" t="s">
        <v>71</v>
      </c>
      <c r="B794" s="2">
        <v>45660</v>
      </c>
      <c r="C794" s="1">
        <v>7.2</v>
      </c>
      <c r="D794" t="s">
        <v>29</v>
      </c>
    </row>
    <row r="795" spans="1:4" x14ac:dyDescent="0.25">
      <c r="A795" t="s">
        <v>147</v>
      </c>
      <c r="B795" s="2">
        <v>45672</v>
      </c>
      <c r="C795" s="1">
        <v>7.2</v>
      </c>
      <c r="D795" t="s">
        <v>29</v>
      </c>
    </row>
    <row r="796" spans="1:4" x14ac:dyDescent="0.25">
      <c r="A796" t="s">
        <v>129</v>
      </c>
      <c r="B796" s="2">
        <v>45659</v>
      </c>
      <c r="C796" s="1">
        <v>7.2</v>
      </c>
      <c r="D796" t="s">
        <v>29</v>
      </c>
    </row>
    <row r="797" spans="1:4" x14ac:dyDescent="0.25">
      <c r="A797" t="s">
        <v>92</v>
      </c>
      <c r="B797" s="2">
        <v>45660</v>
      </c>
      <c r="C797" s="1">
        <v>7.2</v>
      </c>
      <c r="D797" t="s">
        <v>29</v>
      </c>
    </row>
    <row r="798" spans="1:4" x14ac:dyDescent="0.25">
      <c r="A798" t="s">
        <v>94</v>
      </c>
      <c r="B798" s="2">
        <v>45670</v>
      </c>
      <c r="C798" s="1">
        <v>7.2</v>
      </c>
      <c r="D798" t="s">
        <v>29</v>
      </c>
    </row>
    <row r="799" spans="1:4" x14ac:dyDescent="0.25">
      <c r="A799" t="s">
        <v>109</v>
      </c>
      <c r="B799" s="2">
        <v>45671</v>
      </c>
      <c r="C799" s="1">
        <v>7.2</v>
      </c>
      <c r="D799" t="s">
        <v>29</v>
      </c>
    </row>
    <row r="800" spans="1:4" x14ac:dyDescent="0.25">
      <c r="A800" t="s">
        <v>88</v>
      </c>
      <c r="B800" s="2">
        <v>45672</v>
      </c>
      <c r="C800" s="1">
        <v>7.2</v>
      </c>
      <c r="D800" t="s">
        <v>29</v>
      </c>
    </row>
    <row r="801" spans="1:4" x14ac:dyDescent="0.25">
      <c r="A801" t="s">
        <v>90</v>
      </c>
      <c r="B801" s="2">
        <v>45673</v>
      </c>
      <c r="C801" s="1">
        <v>7.2</v>
      </c>
      <c r="D801" t="s">
        <v>29</v>
      </c>
    </row>
    <row r="802" spans="1:4" x14ac:dyDescent="0.25">
      <c r="A802" t="s">
        <v>68</v>
      </c>
      <c r="B802" s="2">
        <v>45674</v>
      </c>
      <c r="C802" s="1">
        <v>7.2</v>
      </c>
      <c r="D802" t="s">
        <v>29</v>
      </c>
    </row>
    <row r="803" spans="1:4" x14ac:dyDescent="0.25">
      <c r="A803" t="s">
        <v>88</v>
      </c>
      <c r="B803" s="2">
        <v>45659</v>
      </c>
      <c r="C803" s="1">
        <v>7.2</v>
      </c>
      <c r="D803" t="s">
        <v>29</v>
      </c>
    </row>
    <row r="804" spans="1:4" x14ac:dyDescent="0.25">
      <c r="A804" t="s">
        <v>125</v>
      </c>
      <c r="B804" s="2">
        <v>45660</v>
      </c>
      <c r="C804" s="1">
        <v>7.2</v>
      </c>
      <c r="D804" t="s">
        <v>29</v>
      </c>
    </row>
    <row r="805" spans="1:4" x14ac:dyDescent="0.25">
      <c r="A805" t="s">
        <v>68</v>
      </c>
      <c r="B805" s="2">
        <v>45659</v>
      </c>
      <c r="C805" s="1">
        <v>7.2</v>
      </c>
      <c r="D805" t="s">
        <v>29</v>
      </c>
    </row>
    <row r="806" spans="1:4" x14ac:dyDescent="0.25">
      <c r="A806" t="s">
        <v>135</v>
      </c>
      <c r="B806" s="2">
        <v>45660</v>
      </c>
      <c r="C806" s="1">
        <v>7.2</v>
      </c>
      <c r="D806" t="s">
        <v>29</v>
      </c>
    </row>
    <row r="807" spans="1:4" x14ac:dyDescent="0.25">
      <c r="A807" t="s">
        <v>102</v>
      </c>
      <c r="B807" s="2">
        <v>45659</v>
      </c>
      <c r="C807" s="1">
        <v>5</v>
      </c>
      <c r="D807" t="s">
        <v>29</v>
      </c>
    </row>
    <row r="808" spans="1:4" x14ac:dyDescent="0.25">
      <c r="A808" t="s">
        <v>66</v>
      </c>
      <c r="B808" s="2">
        <v>45660</v>
      </c>
      <c r="C808" s="1">
        <v>5</v>
      </c>
      <c r="D808" t="s">
        <v>29</v>
      </c>
    </row>
    <row r="809" spans="1:4" x14ac:dyDescent="0.25">
      <c r="A809" t="s">
        <v>128</v>
      </c>
      <c r="B809" s="2">
        <v>45674</v>
      </c>
      <c r="C809" s="1">
        <v>0.56999999999999995</v>
      </c>
      <c r="D809" t="s">
        <v>29</v>
      </c>
    </row>
    <row r="810" spans="1:4" x14ac:dyDescent="0.25">
      <c r="A810" t="s">
        <v>124</v>
      </c>
      <c r="B810" s="2">
        <v>45681</v>
      </c>
      <c r="C810" s="1">
        <v>5</v>
      </c>
      <c r="D810" t="s">
        <v>29</v>
      </c>
    </row>
    <row r="811" spans="1:4" x14ac:dyDescent="0.25">
      <c r="A811" t="s">
        <v>70</v>
      </c>
      <c r="B811" s="2">
        <v>45659</v>
      </c>
      <c r="C811" s="1">
        <v>6.32</v>
      </c>
      <c r="D811" t="s">
        <v>29</v>
      </c>
    </row>
    <row r="812" spans="1:4" x14ac:dyDescent="0.25">
      <c r="A812" t="s">
        <v>124</v>
      </c>
      <c r="B812" s="2">
        <v>45660</v>
      </c>
      <c r="C812" s="1">
        <v>6.32</v>
      </c>
      <c r="D812" t="s">
        <v>29</v>
      </c>
    </row>
    <row r="813" spans="1:4" x14ac:dyDescent="0.25">
      <c r="A813" t="s">
        <v>76</v>
      </c>
      <c r="B813" s="2">
        <v>45659</v>
      </c>
      <c r="C813" s="1">
        <v>7.2</v>
      </c>
      <c r="D813" t="s">
        <v>29</v>
      </c>
    </row>
    <row r="814" spans="1:4" x14ac:dyDescent="0.25">
      <c r="A814" t="s">
        <v>130</v>
      </c>
      <c r="B814" s="2">
        <v>45660</v>
      </c>
      <c r="C814" s="1">
        <v>7.2</v>
      </c>
      <c r="D814" t="s">
        <v>29</v>
      </c>
    </row>
    <row r="815" spans="1:4" x14ac:dyDescent="0.25">
      <c r="A815" t="s">
        <v>73</v>
      </c>
      <c r="B815" s="2">
        <v>45667</v>
      </c>
      <c r="C815" s="1">
        <v>0.48</v>
      </c>
      <c r="D815" t="s">
        <v>29</v>
      </c>
    </row>
    <row r="816" spans="1:4" x14ac:dyDescent="0.25">
      <c r="A816" t="s">
        <v>102</v>
      </c>
      <c r="B816" s="2">
        <v>45672</v>
      </c>
      <c r="C816" s="1">
        <v>1.7</v>
      </c>
      <c r="D816" t="s">
        <v>29</v>
      </c>
    </row>
    <row r="817" spans="1:4" x14ac:dyDescent="0.25">
      <c r="A817" t="s">
        <v>86</v>
      </c>
      <c r="B817" s="2">
        <v>45673</v>
      </c>
      <c r="C817" s="1">
        <v>7.2</v>
      </c>
      <c r="D817" t="s">
        <v>29</v>
      </c>
    </row>
    <row r="818" spans="1:4" x14ac:dyDescent="0.25">
      <c r="A818" t="s">
        <v>145</v>
      </c>
      <c r="B818" s="2">
        <v>45674</v>
      </c>
      <c r="C818" s="1">
        <v>7.2</v>
      </c>
      <c r="D818" t="s">
        <v>29</v>
      </c>
    </row>
    <row r="819" spans="1:4" x14ac:dyDescent="0.25">
      <c r="A819" t="s">
        <v>80</v>
      </c>
      <c r="B819" s="2">
        <v>45659</v>
      </c>
      <c r="C819" s="1">
        <v>7.2</v>
      </c>
      <c r="D819" t="s">
        <v>29</v>
      </c>
    </row>
    <row r="820" spans="1:4" x14ac:dyDescent="0.25">
      <c r="A820" t="s">
        <v>138</v>
      </c>
      <c r="B820" s="2">
        <v>45660</v>
      </c>
      <c r="C820" s="1">
        <v>7.2</v>
      </c>
      <c r="D820" t="s">
        <v>29</v>
      </c>
    </row>
    <row r="821" spans="1:4" x14ac:dyDescent="0.25">
      <c r="A821" t="s">
        <v>97</v>
      </c>
      <c r="B821" s="2">
        <v>45659</v>
      </c>
      <c r="C821" s="1">
        <v>7.2</v>
      </c>
      <c r="D821" t="s">
        <v>29</v>
      </c>
    </row>
    <row r="822" spans="1:4" x14ac:dyDescent="0.25">
      <c r="A822" t="s">
        <v>71</v>
      </c>
      <c r="B822" s="2">
        <v>45660</v>
      </c>
      <c r="C822" s="1">
        <v>7.2</v>
      </c>
      <c r="D822" t="s">
        <v>29</v>
      </c>
    </row>
    <row r="823" spans="1:4" x14ac:dyDescent="0.25">
      <c r="A823" t="s">
        <v>88</v>
      </c>
      <c r="B823" s="2">
        <v>45681</v>
      </c>
      <c r="C823" s="1">
        <v>1</v>
      </c>
      <c r="D823" t="s">
        <v>29</v>
      </c>
    </row>
    <row r="824" spans="1:4" x14ac:dyDescent="0.25">
      <c r="A824" t="s">
        <v>109</v>
      </c>
      <c r="B824" s="2">
        <v>45685</v>
      </c>
      <c r="C824" s="1">
        <v>0.67</v>
      </c>
      <c r="D824" t="s">
        <v>29</v>
      </c>
    </row>
    <row r="825" spans="1:4" x14ac:dyDescent="0.25">
      <c r="A825" t="s">
        <v>84</v>
      </c>
      <c r="B825" s="2">
        <v>45659</v>
      </c>
      <c r="C825" s="1">
        <v>7.6</v>
      </c>
      <c r="D825" t="s">
        <v>29</v>
      </c>
    </row>
    <row r="826" spans="1:4" x14ac:dyDescent="0.25">
      <c r="A826" t="s">
        <v>74</v>
      </c>
      <c r="B826" s="2">
        <v>45660</v>
      </c>
      <c r="C826" s="1">
        <v>7.6</v>
      </c>
      <c r="D826" t="s">
        <v>29</v>
      </c>
    </row>
    <row r="827" spans="1:4" x14ac:dyDescent="0.25">
      <c r="A827" t="s">
        <v>146</v>
      </c>
      <c r="B827" s="2">
        <v>45686</v>
      </c>
      <c r="C827" s="1">
        <v>7.6</v>
      </c>
      <c r="D827" t="s">
        <v>29</v>
      </c>
    </row>
    <row r="828" spans="1:4" x14ac:dyDescent="0.25">
      <c r="A828" t="s">
        <v>68</v>
      </c>
      <c r="B828" s="2">
        <v>45659</v>
      </c>
      <c r="C828" s="1">
        <v>6</v>
      </c>
      <c r="D828" t="s">
        <v>29</v>
      </c>
    </row>
    <row r="829" spans="1:4" x14ac:dyDescent="0.25">
      <c r="A829" t="s">
        <v>68</v>
      </c>
      <c r="B829" s="2">
        <v>45660</v>
      </c>
      <c r="C829" s="1">
        <v>6</v>
      </c>
      <c r="D829" t="s">
        <v>29</v>
      </c>
    </row>
    <row r="830" spans="1:4" x14ac:dyDescent="0.25">
      <c r="A830" t="s">
        <v>126</v>
      </c>
      <c r="B830" s="2">
        <v>45672</v>
      </c>
      <c r="C830" s="1">
        <v>6</v>
      </c>
      <c r="D830" t="s">
        <v>29</v>
      </c>
    </row>
    <row r="831" spans="1:4" x14ac:dyDescent="0.25">
      <c r="A831" t="s">
        <v>113</v>
      </c>
      <c r="B831" s="2">
        <v>45674</v>
      </c>
      <c r="C831" s="1">
        <v>7.2</v>
      </c>
      <c r="D831" t="s">
        <v>29</v>
      </c>
    </row>
    <row r="832" spans="1:4" x14ac:dyDescent="0.25">
      <c r="A832" t="s">
        <v>72</v>
      </c>
      <c r="B832" s="2">
        <v>45659</v>
      </c>
      <c r="C832" s="1">
        <v>6</v>
      </c>
      <c r="D832" t="s">
        <v>29</v>
      </c>
    </row>
    <row r="833" spans="1:4" x14ac:dyDescent="0.25">
      <c r="A833" t="s">
        <v>146</v>
      </c>
      <c r="B833" s="2">
        <v>45660</v>
      </c>
      <c r="C833" s="1">
        <v>6</v>
      </c>
      <c r="D833" t="s">
        <v>29</v>
      </c>
    </row>
    <row r="834" spans="1:4" x14ac:dyDescent="0.25">
      <c r="A834" t="s">
        <v>68</v>
      </c>
      <c r="B834" s="2">
        <v>45661</v>
      </c>
      <c r="C834" s="1">
        <v>6</v>
      </c>
      <c r="D834" t="s">
        <v>29</v>
      </c>
    </row>
    <row r="835" spans="1:4" x14ac:dyDescent="0.25">
      <c r="A835" t="s">
        <v>124</v>
      </c>
      <c r="B835" s="2">
        <v>45664</v>
      </c>
      <c r="C835" s="1">
        <v>6</v>
      </c>
      <c r="D835" t="s">
        <v>29</v>
      </c>
    </row>
    <row r="836" spans="1:4" x14ac:dyDescent="0.25">
      <c r="A836" t="s">
        <v>103</v>
      </c>
      <c r="B836" s="2">
        <v>45660</v>
      </c>
      <c r="C836" s="1">
        <v>7.6</v>
      </c>
      <c r="D836" t="s">
        <v>29</v>
      </c>
    </row>
    <row r="837" spans="1:4" x14ac:dyDescent="0.25">
      <c r="A837" t="s">
        <v>88</v>
      </c>
      <c r="B837" s="2">
        <v>45680</v>
      </c>
      <c r="C837" s="1">
        <v>7.6</v>
      </c>
      <c r="D837" t="s">
        <v>29</v>
      </c>
    </row>
    <row r="838" spans="1:4" x14ac:dyDescent="0.25">
      <c r="A838" t="s">
        <v>115</v>
      </c>
      <c r="B838" s="2">
        <v>45684</v>
      </c>
      <c r="C838" s="1">
        <v>7.6</v>
      </c>
      <c r="D838" t="s">
        <v>29</v>
      </c>
    </row>
    <row r="839" spans="1:4" x14ac:dyDescent="0.25">
      <c r="A839" t="s">
        <v>114</v>
      </c>
      <c r="B839" s="2">
        <v>45685</v>
      </c>
      <c r="C839" s="1">
        <v>7.6</v>
      </c>
      <c r="D839" t="s">
        <v>29</v>
      </c>
    </row>
    <row r="840" spans="1:4" x14ac:dyDescent="0.25">
      <c r="A840" t="s">
        <v>72</v>
      </c>
      <c r="B840" s="2">
        <v>45659</v>
      </c>
      <c r="C840" s="1">
        <v>7.2</v>
      </c>
      <c r="D840" t="s">
        <v>29</v>
      </c>
    </row>
    <row r="841" spans="1:4" x14ac:dyDescent="0.25">
      <c r="A841" t="s">
        <v>101</v>
      </c>
      <c r="B841" s="2">
        <v>45660</v>
      </c>
      <c r="C841" s="1">
        <v>7.2</v>
      </c>
      <c r="D841" t="s">
        <v>29</v>
      </c>
    </row>
    <row r="842" spans="1:4" x14ac:dyDescent="0.25">
      <c r="A842" t="s">
        <v>69</v>
      </c>
      <c r="B842" s="2">
        <v>45671</v>
      </c>
      <c r="C842" s="1">
        <v>0.97</v>
      </c>
      <c r="D842" t="s">
        <v>29</v>
      </c>
    </row>
    <row r="843" spans="1:4" x14ac:dyDescent="0.25">
      <c r="A843" t="s">
        <v>126</v>
      </c>
      <c r="B843" s="2">
        <v>45672</v>
      </c>
      <c r="C843" s="1">
        <v>7.2</v>
      </c>
      <c r="D843" t="s">
        <v>29</v>
      </c>
    </row>
    <row r="844" spans="1:4" x14ac:dyDescent="0.25">
      <c r="A844" t="s">
        <v>76</v>
      </c>
      <c r="B844" s="2">
        <v>45673</v>
      </c>
      <c r="C844" s="1">
        <v>7.2</v>
      </c>
      <c r="D844" t="s">
        <v>29</v>
      </c>
    </row>
    <row r="845" spans="1:4" x14ac:dyDescent="0.25">
      <c r="A845" t="s">
        <v>74</v>
      </c>
      <c r="B845" s="2">
        <v>45660</v>
      </c>
      <c r="C845" s="1">
        <v>0.97</v>
      </c>
      <c r="D845" t="s">
        <v>29</v>
      </c>
    </row>
    <row r="846" spans="1:4" x14ac:dyDescent="0.25">
      <c r="A846" t="s">
        <v>118</v>
      </c>
      <c r="B846" s="2">
        <v>45680</v>
      </c>
      <c r="C846" s="1">
        <v>7.2</v>
      </c>
      <c r="D846" t="s">
        <v>29</v>
      </c>
    </row>
    <row r="847" spans="1:4" x14ac:dyDescent="0.25">
      <c r="A847" t="s">
        <v>100</v>
      </c>
      <c r="B847" s="2">
        <v>45681</v>
      </c>
      <c r="C847" s="1">
        <v>7.2</v>
      </c>
      <c r="D847" t="s">
        <v>29</v>
      </c>
    </row>
    <row r="848" spans="1:4" x14ac:dyDescent="0.25">
      <c r="A848" t="s">
        <v>86</v>
      </c>
      <c r="B848" s="2">
        <v>45659</v>
      </c>
      <c r="C848" s="1">
        <v>6</v>
      </c>
      <c r="D848" t="s">
        <v>29</v>
      </c>
    </row>
    <row r="849" spans="1:4" x14ac:dyDescent="0.25">
      <c r="A849" t="s">
        <v>103</v>
      </c>
      <c r="B849" s="2">
        <v>45660</v>
      </c>
      <c r="C849" s="1">
        <v>6</v>
      </c>
      <c r="D849" t="s">
        <v>29</v>
      </c>
    </row>
    <row r="850" spans="1:4" x14ac:dyDescent="0.25">
      <c r="A850" t="s">
        <v>121</v>
      </c>
      <c r="B850" s="2">
        <v>45661</v>
      </c>
      <c r="C850" s="1">
        <v>6</v>
      </c>
      <c r="D850" t="s">
        <v>29</v>
      </c>
    </row>
    <row r="851" spans="1:4" x14ac:dyDescent="0.25">
      <c r="A851" t="s">
        <v>128</v>
      </c>
      <c r="B851" s="2">
        <v>45664</v>
      </c>
      <c r="C851" s="1">
        <v>6</v>
      </c>
      <c r="D851" t="s">
        <v>29</v>
      </c>
    </row>
    <row r="852" spans="1:4" x14ac:dyDescent="0.25">
      <c r="A852" t="s">
        <v>119</v>
      </c>
      <c r="B852" s="2">
        <v>45665</v>
      </c>
      <c r="C852" s="1">
        <v>6</v>
      </c>
      <c r="D852" t="s">
        <v>29</v>
      </c>
    </row>
    <row r="853" spans="1:4" x14ac:dyDescent="0.25">
      <c r="A853" t="s">
        <v>82</v>
      </c>
      <c r="B853" s="2">
        <v>45671</v>
      </c>
      <c r="C853" s="1">
        <v>7</v>
      </c>
      <c r="D853" t="s">
        <v>29</v>
      </c>
    </row>
    <row r="854" spans="1:4" x14ac:dyDescent="0.25">
      <c r="A854" t="s">
        <v>109</v>
      </c>
      <c r="B854" s="2">
        <v>45659</v>
      </c>
      <c r="C854" s="1">
        <v>7.2</v>
      </c>
      <c r="D854" t="s">
        <v>29</v>
      </c>
    </row>
    <row r="855" spans="1:4" x14ac:dyDescent="0.25">
      <c r="A855" t="s">
        <v>103</v>
      </c>
      <c r="B855" s="2">
        <v>45660</v>
      </c>
      <c r="C855" s="1">
        <v>7.2</v>
      </c>
      <c r="D855" t="s">
        <v>29</v>
      </c>
    </row>
    <row r="856" spans="1:4" x14ac:dyDescent="0.25">
      <c r="A856" t="s">
        <v>68</v>
      </c>
      <c r="B856" s="2">
        <v>45659</v>
      </c>
      <c r="C856" s="1">
        <v>6</v>
      </c>
      <c r="D856" t="s">
        <v>29</v>
      </c>
    </row>
    <row r="857" spans="1:4" x14ac:dyDescent="0.25">
      <c r="A857" t="s">
        <v>81</v>
      </c>
      <c r="B857" s="2">
        <v>45660</v>
      </c>
      <c r="C857" s="1">
        <v>6</v>
      </c>
      <c r="D857" t="s">
        <v>29</v>
      </c>
    </row>
    <row r="858" spans="1:4" x14ac:dyDescent="0.25">
      <c r="A858" t="s">
        <v>138</v>
      </c>
      <c r="B858" s="2">
        <v>45661</v>
      </c>
      <c r="C858" s="1">
        <v>6</v>
      </c>
      <c r="D858" t="s">
        <v>29</v>
      </c>
    </row>
    <row r="859" spans="1:4" x14ac:dyDescent="0.25">
      <c r="A859" t="s">
        <v>136</v>
      </c>
      <c r="B859" s="2">
        <v>45685</v>
      </c>
      <c r="C859" s="1">
        <v>6</v>
      </c>
      <c r="D859" t="s">
        <v>29</v>
      </c>
    </row>
    <row r="860" spans="1:4" x14ac:dyDescent="0.25">
      <c r="A860" t="s">
        <v>82</v>
      </c>
      <c r="B860" s="2">
        <v>45674</v>
      </c>
      <c r="C860" s="1">
        <v>4</v>
      </c>
      <c r="D860" t="s">
        <v>29</v>
      </c>
    </row>
    <row r="861" spans="1:4" x14ac:dyDescent="0.25">
      <c r="A861" t="s">
        <v>78</v>
      </c>
      <c r="B861" s="2">
        <v>45660</v>
      </c>
      <c r="C861" s="1">
        <v>6</v>
      </c>
      <c r="D861" t="s">
        <v>29</v>
      </c>
    </row>
    <row r="862" spans="1:4" x14ac:dyDescent="0.25">
      <c r="A862" t="s">
        <v>114</v>
      </c>
      <c r="B862" s="2">
        <v>45671</v>
      </c>
      <c r="C862" s="1">
        <v>0.73</v>
      </c>
      <c r="D862" t="s">
        <v>29</v>
      </c>
    </row>
    <row r="863" spans="1:4" x14ac:dyDescent="0.25">
      <c r="A863" t="s">
        <v>90</v>
      </c>
      <c r="B863" s="2">
        <v>45681</v>
      </c>
      <c r="C863" s="1">
        <v>2.67</v>
      </c>
      <c r="D863" t="s">
        <v>29</v>
      </c>
    </row>
    <row r="864" spans="1:4" x14ac:dyDescent="0.25">
      <c r="A864" t="s">
        <v>76</v>
      </c>
      <c r="B864" s="2">
        <v>45659</v>
      </c>
      <c r="C864" s="1">
        <v>7.2</v>
      </c>
      <c r="D864" t="s">
        <v>29</v>
      </c>
    </row>
    <row r="865" spans="1:4" x14ac:dyDescent="0.25">
      <c r="A865" t="s">
        <v>129</v>
      </c>
      <c r="B865" s="2">
        <v>45660</v>
      </c>
      <c r="C865" s="1">
        <v>7.2</v>
      </c>
      <c r="D865" t="s">
        <v>29</v>
      </c>
    </row>
    <row r="866" spans="1:4" x14ac:dyDescent="0.25">
      <c r="A866" t="s">
        <v>76</v>
      </c>
      <c r="B866" s="2">
        <v>45672</v>
      </c>
      <c r="C866" s="1">
        <v>0.42</v>
      </c>
      <c r="D866" t="s">
        <v>29</v>
      </c>
    </row>
    <row r="867" spans="1:4" x14ac:dyDescent="0.25">
      <c r="A867" t="s">
        <v>107</v>
      </c>
      <c r="B867" s="2">
        <v>45673</v>
      </c>
      <c r="C867" s="1">
        <v>1.2</v>
      </c>
      <c r="D867" t="s">
        <v>29</v>
      </c>
    </row>
    <row r="868" spans="1:4" x14ac:dyDescent="0.25">
      <c r="A868" t="s">
        <v>99</v>
      </c>
      <c r="B868" s="2">
        <v>45674</v>
      </c>
      <c r="C868" s="1">
        <v>1.38</v>
      </c>
      <c r="D868" t="s">
        <v>29</v>
      </c>
    </row>
    <row r="869" spans="1:4" x14ac:dyDescent="0.25">
      <c r="A869" t="s">
        <v>144</v>
      </c>
      <c r="B869" s="2">
        <v>45677</v>
      </c>
      <c r="C869" s="1">
        <v>7.2</v>
      </c>
      <c r="D869" t="s">
        <v>29</v>
      </c>
    </row>
    <row r="870" spans="1:4" x14ac:dyDescent="0.25">
      <c r="A870" t="s">
        <v>119</v>
      </c>
      <c r="B870" s="2">
        <v>45678</v>
      </c>
      <c r="C870" s="1">
        <v>7.2</v>
      </c>
      <c r="D870" t="s">
        <v>29</v>
      </c>
    </row>
    <row r="871" spans="1:4" x14ac:dyDescent="0.25">
      <c r="A871" t="s">
        <v>129</v>
      </c>
      <c r="B871" s="2">
        <v>45679</v>
      </c>
      <c r="C871" s="1">
        <v>7.2</v>
      </c>
      <c r="D871" t="s">
        <v>29</v>
      </c>
    </row>
    <row r="872" spans="1:4" x14ac:dyDescent="0.25">
      <c r="A872" t="s">
        <v>72</v>
      </c>
      <c r="B872" s="2">
        <v>45680</v>
      </c>
      <c r="C872" s="1">
        <v>7.2</v>
      </c>
      <c r="D872" t="s">
        <v>29</v>
      </c>
    </row>
    <row r="873" spans="1:4" x14ac:dyDescent="0.25">
      <c r="A873" t="s">
        <v>72</v>
      </c>
      <c r="B873" s="2">
        <v>45681</v>
      </c>
      <c r="C873" s="1">
        <v>0.67</v>
      </c>
      <c r="D873" t="s">
        <v>29</v>
      </c>
    </row>
    <row r="874" spans="1:4" x14ac:dyDescent="0.25">
      <c r="A874" t="s">
        <v>78</v>
      </c>
      <c r="B874" s="2">
        <v>45687</v>
      </c>
      <c r="C874" s="1">
        <v>0.48</v>
      </c>
      <c r="D874" t="s">
        <v>29</v>
      </c>
    </row>
    <row r="875" spans="1:4" x14ac:dyDescent="0.25">
      <c r="A875" t="s">
        <v>80</v>
      </c>
      <c r="B875" s="2">
        <v>45688</v>
      </c>
      <c r="C875" s="1">
        <v>0.32</v>
      </c>
      <c r="D875" t="s">
        <v>29</v>
      </c>
    </row>
    <row r="876" spans="1:4" x14ac:dyDescent="0.25">
      <c r="A876" t="s">
        <v>135</v>
      </c>
      <c r="B876" s="2">
        <v>45659</v>
      </c>
      <c r="C876" s="1">
        <v>4.58</v>
      </c>
      <c r="D876" t="s">
        <v>29</v>
      </c>
    </row>
    <row r="877" spans="1:4" x14ac:dyDescent="0.25">
      <c r="A877" t="s">
        <v>104</v>
      </c>
      <c r="B877" s="2">
        <v>45660</v>
      </c>
      <c r="C877" s="1">
        <v>7.2</v>
      </c>
      <c r="D877" t="s">
        <v>29</v>
      </c>
    </row>
    <row r="878" spans="1:4" x14ac:dyDescent="0.25">
      <c r="A878" t="s">
        <v>93</v>
      </c>
      <c r="B878" s="2">
        <v>45664</v>
      </c>
      <c r="C878" s="1">
        <v>7.2</v>
      </c>
      <c r="D878" t="s">
        <v>29</v>
      </c>
    </row>
    <row r="879" spans="1:4" x14ac:dyDescent="0.25">
      <c r="A879" t="s">
        <v>72</v>
      </c>
      <c r="B879" s="2">
        <v>45674</v>
      </c>
      <c r="C879" s="1">
        <v>0.47</v>
      </c>
      <c r="D879" t="s">
        <v>29</v>
      </c>
    </row>
    <row r="880" spans="1:4" x14ac:dyDescent="0.25">
      <c r="A880" t="s">
        <v>74</v>
      </c>
      <c r="B880" s="2">
        <v>45686</v>
      </c>
      <c r="C880" s="1">
        <v>0.17</v>
      </c>
      <c r="D880" t="s">
        <v>29</v>
      </c>
    </row>
    <row r="881" spans="1:4" x14ac:dyDescent="0.25">
      <c r="A881" t="s">
        <v>122</v>
      </c>
      <c r="B881" s="2">
        <v>45687</v>
      </c>
      <c r="C881" s="1">
        <v>0.98</v>
      </c>
      <c r="D881" t="s">
        <v>29</v>
      </c>
    </row>
    <row r="882" spans="1:4" x14ac:dyDescent="0.25">
      <c r="A882" t="s">
        <v>142</v>
      </c>
      <c r="B882" s="2">
        <v>45688</v>
      </c>
      <c r="C882" s="1">
        <v>0.25</v>
      </c>
      <c r="D882" t="s">
        <v>29</v>
      </c>
    </row>
    <row r="883" spans="1:4" x14ac:dyDescent="0.25">
      <c r="A883" t="s">
        <v>68</v>
      </c>
      <c r="B883" s="2">
        <v>45684</v>
      </c>
      <c r="C883" s="1">
        <v>7.2</v>
      </c>
      <c r="D883" t="s">
        <v>29</v>
      </c>
    </row>
    <row r="884" spans="1:4" x14ac:dyDescent="0.25">
      <c r="A884" t="s">
        <v>142</v>
      </c>
      <c r="B884" s="2">
        <v>45659</v>
      </c>
      <c r="C884" s="1">
        <v>7.2</v>
      </c>
      <c r="D884" t="s">
        <v>29</v>
      </c>
    </row>
    <row r="885" spans="1:4" x14ac:dyDescent="0.25">
      <c r="A885" t="s">
        <v>106</v>
      </c>
      <c r="B885" s="2">
        <v>45660</v>
      </c>
      <c r="C885" s="1">
        <v>7.2</v>
      </c>
      <c r="D885" t="s">
        <v>29</v>
      </c>
    </row>
    <row r="886" spans="1:4" x14ac:dyDescent="0.25">
      <c r="A886" t="s">
        <v>146</v>
      </c>
      <c r="B886" s="2">
        <v>45674</v>
      </c>
      <c r="C886" s="1">
        <v>7.2</v>
      </c>
      <c r="D886" t="s">
        <v>29</v>
      </c>
    </row>
    <row r="887" spans="1:4" x14ac:dyDescent="0.25">
      <c r="A887" t="s">
        <v>110</v>
      </c>
      <c r="B887" s="2">
        <v>45659</v>
      </c>
      <c r="C887" s="1">
        <v>7.2</v>
      </c>
      <c r="D887" t="s">
        <v>29</v>
      </c>
    </row>
    <row r="888" spans="1:4" x14ac:dyDescent="0.25">
      <c r="A888" t="s">
        <v>115</v>
      </c>
      <c r="B888" s="2">
        <v>45660</v>
      </c>
      <c r="C888" s="1">
        <v>7.2</v>
      </c>
      <c r="D888" t="s">
        <v>29</v>
      </c>
    </row>
    <row r="889" spans="1:4" x14ac:dyDescent="0.25">
      <c r="A889" t="s">
        <v>126</v>
      </c>
      <c r="B889" s="2">
        <v>45672</v>
      </c>
      <c r="C889" s="1">
        <v>1.23</v>
      </c>
      <c r="D889" t="s">
        <v>29</v>
      </c>
    </row>
    <row r="890" spans="1:4" x14ac:dyDescent="0.25">
      <c r="A890" t="s">
        <v>134</v>
      </c>
      <c r="B890" s="2">
        <v>45681</v>
      </c>
      <c r="C890" s="1">
        <v>2.2000000000000002</v>
      </c>
      <c r="D890" t="s">
        <v>29</v>
      </c>
    </row>
    <row r="891" spans="1:4" x14ac:dyDescent="0.25">
      <c r="A891" t="s">
        <v>121</v>
      </c>
      <c r="B891" s="2">
        <v>45687</v>
      </c>
      <c r="C891" s="1">
        <v>1.7</v>
      </c>
      <c r="D891" t="s">
        <v>29</v>
      </c>
    </row>
    <row r="892" spans="1:4" x14ac:dyDescent="0.25">
      <c r="A892" t="s">
        <v>142</v>
      </c>
      <c r="B892" s="2">
        <v>45659</v>
      </c>
      <c r="C892" s="1">
        <v>7.2</v>
      </c>
      <c r="D892" t="s">
        <v>29</v>
      </c>
    </row>
    <row r="893" spans="1:4" x14ac:dyDescent="0.25">
      <c r="A893" t="s">
        <v>104</v>
      </c>
      <c r="B893" s="2">
        <v>45660</v>
      </c>
      <c r="C893" s="1">
        <v>7.2</v>
      </c>
      <c r="D893" t="s">
        <v>29</v>
      </c>
    </row>
    <row r="894" spans="1:4" x14ac:dyDescent="0.25">
      <c r="A894" t="s">
        <v>94</v>
      </c>
      <c r="B894" s="2">
        <v>45659</v>
      </c>
      <c r="C894" s="1">
        <v>6</v>
      </c>
      <c r="D894" t="s">
        <v>29</v>
      </c>
    </row>
    <row r="895" spans="1:4" x14ac:dyDescent="0.25">
      <c r="A895" t="s">
        <v>69</v>
      </c>
      <c r="B895" s="2">
        <v>45660</v>
      </c>
      <c r="C895" s="1">
        <v>6</v>
      </c>
      <c r="D895" t="s">
        <v>29</v>
      </c>
    </row>
    <row r="896" spans="1:4" x14ac:dyDescent="0.25">
      <c r="A896" t="s">
        <v>84</v>
      </c>
      <c r="B896" s="2">
        <v>45661</v>
      </c>
      <c r="C896" s="1">
        <v>6</v>
      </c>
      <c r="D896" t="s">
        <v>29</v>
      </c>
    </row>
    <row r="897" spans="1:4" x14ac:dyDescent="0.25">
      <c r="A897" t="s">
        <v>65</v>
      </c>
      <c r="B897" s="2">
        <v>45664</v>
      </c>
      <c r="C897" s="1">
        <v>6</v>
      </c>
      <c r="D897" t="s">
        <v>29</v>
      </c>
    </row>
    <row r="898" spans="1:4" x14ac:dyDescent="0.25">
      <c r="A898" t="s">
        <v>108</v>
      </c>
      <c r="B898" s="2">
        <v>45665</v>
      </c>
      <c r="C898" s="1">
        <v>6</v>
      </c>
      <c r="D898" t="s">
        <v>29</v>
      </c>
    </row>
    <row r="899" spans="1:4" x14ac:dyDescent="0.25">
      <c r="A899" t="s">
        <v>70</v>
      </c>
      <c r="B899" s="2">
        <v>45659</v>
      </c>
      <c r="C899" s="1">
        <v>7.2</v>
      </c>
      <c r="D899" t="s">
        <v>29</v>
      </c>
    </row>
    <row r="900" spans="1:4" x14ac:dyDescent="0.25">
      <c r="A900" t="s">
        <v>98</v>
      </c>
      <c r="B900" s="2">
        <v>45660</v>
      </c>
      <c r="C900" s="1">
        <v>7.2</v>
      </c>
      <c r="D900" t="s">
        <v>29</v>
      </c>
    </row>
    <row r="901" spans="1:4" x14ac:dyDescent="0.25">
      <c r="A901" t="s">
        <v>122</v>
      </c>
      <c r="B901" s="2">
        <v>45681</v>
      </c>
      <c r="C901" s="1">
        <v>7.2</v>
      </c>
      <c r="D901" t="s">
        <v>29</v>
      </c>
    </row>
    <row r="902" spans="1:4" x14ac:dyDescent="0.25">
      <c r="A902" t="s">
        <v>83</v>
      </c>
      <c r="B902" s="2">
        <v>45684</v>
      </c>
      <c r="C902" s="1">
        <v>7.2</v>
      </c>
      <c r="D902" t="s">
        <v>29</v>
      </c>
    </row>
    <row r="903" spans="1:4" x14ac:dyDescent="0.25">
      <c r="A903" t="s">
        <v>113</v>
      </c>
      <c r="B903" s="2">
        <v>45659</v>
      </c>
      <c r="C903" s="1">
        <v>7.2</v>
      </c>
      <c r="D903" t="s">
        <v>29</v>
      </c>
    </row>
    <row r="904" spans="1:4" x14ac:dyDescent="0.25">
      <c r="A904" t="s">
        <v>71</v>
      </c>
      <c r="B904" s="2">
        <v>45660</v>
      </c>
      <c r="C904" s="1">
        <v>7.2</v>
      </c>
      <c r="D904" t="s">
        <v>29</v>
      </c>
    </row>
    <row r="905" spans="1:4" x14ac:dyDescent="0.25">
      <c r="A905" t="s">
        <v>90</v>
      </c>
      <c r="B905" s="2">
        <v>45659</v>
      </c>
      <c r="C905" s="1">
        <v>7.6</v>
      </c>
      <c r="D905" t="s">
        <v>29</v>
      </c>
    </row>
    <row r="906" spans="1:4" x14ac:dyDescent="0.25">
      <c r="A906" t="s">
        <v>125</v>
      </c>
      <c r="B906" s="2">
        <v>45660</v>
      </c>
      <c r="C906" s="1">
        <v>7.6</v>
      </c>
      <c r="D906" t="s">
        <v>29</v>
      </c>
    </row>
    <row r="907" spans="1:4" x14ac:dyDescent="0.25">
      <c r="A907" t="s">
        <v>129</v>
      </c>
      <c r="B907" s="2">
        <v>45659</v>
      </c>
      <c r="C907" s="1">
        <v>7.2</v>
      </c>
      <c r="D907" t="s">
        <v>29</v>
      </c>
    </row>
    <row r="908" spans="1:4" x14ac:dyDescent="0.25">
      <c r="A908" t="s">
        <v>134</v>
      </c>
      <c r="B908" s="2">
        <v>45660</v>
      </c>
      <c r="C908" s="1">
        <v>7.2</v>
      </c>
      <c r="D908" t="s">
        <v>29</v>
      </c>
    </row>
    <row r="909" spans="1:4" x14ac:dyDescent="0.25">
      <c r="A909" t="s">
        <v>69</v>
      </c>
      <c r="B909" s="2">
        <v>45671</v>
      </c>
      <c r="C909" s="1">
        <v>6</v>
      </c>
      <c r="D909" t="s">
        <v>29</v>
      </c>
    </row>
    <row r="910" spans="1:4" x14ac:dyDescent="0.25">
      <c r="A910" t="s">
        <v>82</v>
      </c>
      <c r="B910" s="2">
        <v>45659</v>
      </c>
      <c r="C910" s="1">
        <v>6</v>
      </c>
      <c r="D910" t="s">
        <v>29</v>
      </c>
    </row>
    <row r="911" spans="1:4" x14ac:dyDescent="0.25">
      <c r="A911" t="s">
        <v>107</v>
      </c>
      <c r="B911" s="2">
        <v>45660</v>
      </c>
      <c r="C911" s="1">
        <v>6</v>
      </c>
      <c r="D911" t="s">
        <v>29</v>
      </c>
    </row>
    <row r="912" spans="1:4" x14ac:dyDescent="0.25">
      <c r="A912" t="s">
        <v>65</v>
      </c>
      <c r="B912" s="2">
        <v>45661</v>
      </c>
      <c r="C912" s="1">
        <v>6</v>
      </c>
      <c r="D912" t="s">
        <v>29</v>
      </c>
    </row>
    <row r="913" spans="1:4" x14ac:dyDescent="0.25">
      <c r="A913" t="s">
        <v>102</v>
      </c>
      <c r="B913" s="2">
        <v>45671</v>
      </c>
      <c r="C913" s="1">
        <v>1</v>
      </c>
      <c r="D913" t="s">
        <v>29</v>
      </c>
    </row>
    <row r="914" spans="1:4" x14ac:dyDescent="0.25">
      <c r="A914" t="s">
        <v>148</v>
      </c>
      <c r="B914" s="2">
        <v>45659</v>
      </c>
      <c r="C914" s="1">
        <v>6</v>
      </c>
      <c r="D914" t="s">
        <v>29</v>
      </c>
    </row>
    <row r="915" spans="1:4" x14ac:dyDescent="0.25">
      <c r="A915" t="s">
        <v>95</v>
      </c>
      <c r="B915" s="2">
        <v>45660</v>
      </c>
      <c r="C915" s="1">
        <v>6</v>
      </c>
      <c r="D915" t="s">
        <v>29</v>
      </c>
    </row>
    <row r="916" spans="1:4" x14ac:dyDescent="0.25">
      <c r="A916" t="s">
        <v>137</v>
      </c>
      <c r="B916" s="2">
        <v>45661</v>
      </c>
      <c r="C916" s="1">
        <v>6</v>
      </c>
      <c r="D916" t="s">
        <v>29</v>
      </c>
    </row>
    <row r="917" spans="1:4" x14ac:dyDescent="0.25">
      <c r="A917" t="s">
        <v>95</v>
      </c>
      <c r="B917" s="2">
        <v>45659</v>
      </c>
      <c r="C917" s="1">
        <v>7.6</v>
      </c>
      <c r="D917" t="s">
        <v>29</v>
      </c>
    </row>
    <row r="918" spans="1:4" x14ac:dyDescent="0.25">
      <c r="A918" t="s">
        <v>126</v>
      </c>
      <c r="B918" s="2">
        <v>45660</v>
      </c>
      <c r="C918" s="1">
        <v>7.6</v>
      </c>
      <c r="D918" t="s">
        <v>29</v>
      </c>
    </row>
    <row r="919" spans="1:4" x14ac:dyDescent="0.25">
      <c r="A919" t="s">
        <v>103</v>
      </c>
      <c r="B919" s="2">
        <v>45664</v>
      </c>
      <c r="C919" s="1">
        <v>2.12</v>
      </c>
      <c r="D919" t="s">
        <v>29</v>
      </c>
    </row>
    <row r="920" spans="1:4" x14ac:dyDescent="0.25">
      <c r="A920" t="s">
        <v>72</v>
      </c>
      <c r="B920" s="2">
        <v>45666</v>
      </c>
      <c r="C920" s="1">
        <v>1.6</v>
      </c>
      <c r="D920" t="s">
        <v>29</v>
      </c>
    </row>
    <row r="921" spans="1:4" x14ac:dyDescent="0.25">
      <c r="A921" t="s">
        <v>72</v>
      </c>
      <c r="B921" s="2">
        <v>45677</v>
      </c>
      <c r="C921" s="1">
        <v>1.6</v>
      </c>
      <c r="D921" t="s">
        <v>29</v>
      </c>
    </row>
    <row r="922" spans="1:4" x14ac:dyDescent="0.25">
      <c r="A922" t="s">
        <v>75</v>
      </c>
      <c r="B922" s="2">
        <v>45679</v>
      </c>
      <c r="C922" s="1">
        <v>1.6</v>
      </c>
      <c r="D922" t="s">
        <v>29</v>
      </c>
    </row>
    <row r="923" spans="1:4" x14ac:dyDescent="0.25">
      <c r="A923" t="s">
        <v>88</v>
      </c>
      <c r="B923" s="2">
        <v>45686</v>
      </c>
      <c r="C923" s="1">
        <v>1.6</v>
      </c>
      <c r="D923" t="s">
        <v>29</v>
      </c>
    </row>
    <row r="924" spans="1:4" x14ac:dyDescent="0.25">
      <c r="A924" t="s">
        <v>139</v>
      </c>
      <c r="B924" s="2">
        <v>45659</v>
      </c>
      <c r="C924" s="1">
        <v>7.6</v>
      </c>
      <c r="D924" t="s">
        <v>29</v>
      </c>
    </row>
    <row r="925" spans="1:4" x14ac:dyDescent="0.25">
      <c r="A925" t="s">
        <v>104</v>
      </c>
      <c r="B925" s="2">
        <v>45660</v>
      </c>
      <c r="C925" s="1">
        <v>7.6</v>
      </c>
      <c r="D925" t="s">
        <v>29</v>
      </c>
    </row>
    <row r="926" spans="1:4" x14ac:dyDescent="0.25">
      <c r="A926" t="s">
        <v>98</v>
      </c>
      <c r="B926" s="2">
        <v>45666</v>
      </c>
      <c r="C926" s="1">
        <v>0.93</v>
      </c>
      <c r="D926" t="s">
        <v>29</v>
      </c>
    </row>
    <row r="927" spans="1:4" x14ac:dyDescent="0.25">
      <c r="A927" t="s">
        <v>65</v>
      </c>
      <c r="B927" s="2">
        <v>45667</v>
      </c>
      <c r="C927" s="1">
        <v>0.47</v>
      </c>
      <c r="D927" t="s">
        <v>29</v>
      </c>
    </row>
    <row r="928" spans="1:4" x14ac:dyDescent="0.25">
      <c r="A928" t="s">
        <v>67</v>
      </c>
      <c r="B928" s="2">
        <v>45670</v>
      </c>
      <c r="C928" s="1">
        <v>0.32</v>
      </c>
      <c r="D928" t="s">
        <v>29</v>
      </c>
    </row>
    <row r="929" spans="1:4" x14ac:dyDescent="0.25">
      <c r="A929" t="s">
        <v>69</v>
      </c>
      <c r="B929" s="2">
        <v>45674</v>
      </c>
      <c r="C929" s="1">
        <v>0.5</v>
      </c>
      <c r="D929" t="s">
        <v>29</v>
      </c>
    </row>
    <row r="930" spans="1:4" x14ac:dyDescent="0.25">
      <c r="A930" t="s">
        <v>137</v>
      </c>
      <c r="B930" s="2">
        <v>45678</v>
      </c>
      <c r="C930" s="1">
        <v>0.48</v>
      </c>
      <c r="D930" t="s">
        <v>29</v>
      </c>
    </row>
    <row r="931" spans="1:4" x14ac:dyDescent="0.25">
      <c r="A931" t="s">
        <v>107</v>
      </c>
      <c r="B931" s="2">
        <v>45679</v>
      </c>
      <c r="C931" s="1">
        <v>0.5</v>
      </c>
      <c r="D931" t="s">
        <v>29</v>
      </c>
    </row>
    <row r="932" spans="1:4" x14ac:dyDescent="0.25">
      <c r="A932" t="s">
        <v>127</v>
      </c>
      <c r="B932" s="2">
        <v>45681</v>
      </c>
      <c r="C932" s="1">
        <v>1.1000000000000001</v>
      </c>
      <c r="D932" t="s">
        <v>29</v>
      </c>
    </row>
    <row r="933" spans="1:4" x14ac:dyDescent="0.25">
      <c r="A933" t="s">
        <v>144</v>
      </c>
      <c r="B933" s="2">
        <v>45688</v>
      </c>
      <c r="C933" s="1">
        <v>0.56999999999999995</v>
      </c>
      <c r="D933" t="s">
        <v>29</v>
      </c>
    </row>
    <row r="934" spans="1:4" x14ac:dyDescent="0.25">
      <c r="A934" t="s">
        <v>89</v>
      </c>
      <c r="B934" s="2">
        <v>45659</v>
      </c>
      <c r="C934" s="1">
        <v>7.2</v>
      </c>
      <c r="D934" t="s">
        <v>29</v>
      </c>
    </row>
    <row r="935" spans="1:4" x14ac:dyDescent="0.25">
      <c r="A935" t="s">
        <v>113</v>
      </c>
      <c r="B935" s="2">
        <v>45660</v>
      </c>
      <c r="C935" s="1">
        <v>7.2</v>
      </c>
      <c r="D935" t="s">
        <v>29</v>
      </c>
    </row>
    <row r="936" spans="1:4" x14ac:dyDescent="0.25">
      <c r="A936" t="s">
        <v>145</v>
      </c>
      <c r="B936" s="2">
        <v>45664</v>
      </c>
      <c r="C936" s="1">
        <v>0.28000000000000003</v>
      </c>
      <c r="D936" t="s">
        <v>29</v>
      </c>
    </row>
    <row r="937" spans="1:4" x14ac:dyDescent="0.25">
      <c r="A937" t="s">
        <v>110</v>
      </c>
      <c r="B937" s="2">
        <v>45674</v>
      </c>
      <c r="C937" s="1">
        <v>0.6</v>
      </c>
      <c r="D937" t="s">
        <v>29</v>
      </c>
    </row>
    <row r="938" spans="1:4" x14ac:dyDescent="0.25">
      <c r="A938" t="s">
        <v>68</v>
      </c>
      <c r="B938" s="2">
        <v>45679</v>
      </c>
      <c r="C938" s="1">
        <v>7.2</v>
      </c>
      <c r="D938" t="s">
        <v>29</v>
      </c>
    </row>
    <row r="939" spans="1:4" x14ac:dyDescent="0.25">
      <c r="A939" t="s">
        <v>91</v>
      </c>
      <c r="B939" s="2">
        <v>45684</v>
      </c>
      <c r="C939" s="1">
        <v>7.2</v>
      </c>
      <c r="D939" t="s">
        <v>29</v>
      </c>
    </row>
    <row r="940" spans="1:4" x14ac:dyDescent="0.25">
      <c r="A940" t="s">
        <v>101</v>
      </c>
      <c r="B940" s="2">
        <v>45659</v>
      </c>
      <c r="C940" s="1">
        <v>6</v>
      </c>
      <c r="D940" t="s">
        <v>29</v>
      </c>
    </row>
    <row r="941" spans="1:4" x14ac:dyDescent="0.25">
      <c r="A941" t="s">
        <v>111</v>
      </c>
      <c r="B941" s="2">
        <v>45660</v>
      </c>
      <c r="C941" s="1">
        <v>6</v>
      </c>
      <c r="D941" t="s">
        <v>29</v>
      </c>
    </row>
    <row r="942" spans="1:4" x14ac:dyDescent="0.25">
      <c r="A942" t="s">
        <v>109</v>
      </c>
      <c r="B942" s="2">
        <v>45661</v>
      </c>
      <c r="C942" s="1">
        <v>6</v>
      </c>
      <c r="D942" t="s">
        <v>29</v>
      </c>
    </row>
    <row r="943" spans="1:4" x14ac:dyDescent="0.25">
      <c r="A943" t="s">
        <v>111</v>
      </c>
      <c r="B943" s="2">
        <v>45664</v>
      </c>
      <c r="C943" s="1">
        <v>6</v>
      </c>
      <c r="D943" t="s">
        <v>29</v>
      </c>
    </row>
    <row r="944" spans="1:4" x14ac:dyDescent="0.25">
      <c r="A944" t="s">
        <v>89</v>
      </c>
      <c r="B944" s="2">
        <v>45667</v>
      </c>
      <c r="C944" s="1">
        <v>6</v>
      </c>
      <c r="D944" t="s">
        <v>29</v>
      </c>
    </row>
    <row r="945" spans="1:4" x14ac:dyDescent="0.25">
      <c r="A945" t="s">
        <v>74</v>
      </c>
      <c r="B945" s="2">
        <v>45672</v>
      </c>
      <c r="C945" s="1">
        <v>6</v>
      </c>
      <c r="D945" t="s">
        <v>29</v>
      </c>
    </row>
    <row r="946" spans="1:4" x14ac:dyDescent="0.25">
      <c r="A946" t="s">
        <v>78</v>
      </c>
      <c r="B946" s="2">
        <v>45674</v>
      </c>
      <c r="C946" s="1">
        <v>4.05</v>
      </c>
      <c r="D946" t="s">
        <v>29</v>
      </c>
    </row>
    <row r="947" spans="1:4" x14ac:dyDescent="0.25">
      <c r="A947" t="s">
        <v>133</v>
      </c>
      <c r="B947" s="2">
        <v>45659</v>
      </c>
      <c r="C947" s="1">
        <v>7.2</v>
      </c>
      <c r="D947" t="s">
        <v>29</v>
      </c>
    </row>
    <row r="948" spans="1:4" x14ac:dyDescent="0.25">
      <c r="A948" t="s">
        <v>91</v>
      </c>
      <c r="B948" s="2">
        <v>45660</v>
      </c>
      <c r="C948" s="1">
        <v>7.2</v>
      </c>
      <c r="D948" t="s">
        <v>29</v>
      </c>
    </row>
    <row r="949" spans="1:4" x14ac:dyDescent="0.25">
      <c r="A949" t="s">
        <v>85</v>
      </c>
      <c r="B949" s="2">
        <v>45666</v>
      </c>
      <c r="C949" s="1">
        <v>0.7</v>
      </c>
      <c r="D949" t="s">
        <v>29</v>
      </c>
    </row>
    <row r="950" spans="1:4" x14ac:dyDescent="0.25">
      <c r="A950" t="s">
        <v>143</v>
      </c>
      <c r="B950" s="2">
        <v>45670</v>
      </c>
      <c r="C950" s="1">
        <v>7.2</v>
      </c>
      <c r="D950" t="s">
        <v>29</v>
      </c>
    </row>
    <row r="951" spans="1:4" x14ac:dyDescent="0.25">
      <c r="A951" t="s">
        <v>87</v>
      </c>
      <c r="B951" s="2">
        <v>45671</v>
      </c>
      <c r="C951" s="1">
        <v>7.2</v>
      </c>
      <c r="D951" t="s">
        <v>29</v>
      </c>
    </row>
    <row r="952" spans="1:4" x14ac:dyDescent="0.25">
      <c r="A952" t="s">
        <v>142</v>
      </c>
      <c r="B952" s="2">
        <v>45664</v>
      </c>
      <c r="C952" s="1">
        <v>1.55</v>
      </c>
      <c r="D952" t="s">
        <v>29</v>
      </c>
    </row>
    <row r="953" spans="1:4" x14ac:dyDescent="0.25">
      <c r="A953" t="s">
        <v>68</v>
      </c>
      <c r="B953" s="2">
        <v>45674</v>
      </c>
      <c r="C953" s="1">
        <v>0.98</v>
      </c>
      <c r="D953" t="s">
        <v>29</v>
      </c>
    </row>
    <row r="954" spans="1:4" x14ac:dyDescent="0.25">
      <c r="A954" t="s">
        <v>72</v>
      </c>
      <c r="B954" s="2">
        <v>45660</v>
      </c>
      <c r="C954" s="1">
        <v>7</v>
      </c>
      <c r="D954" t="s">
        <v>29</v>
      </c>
    </row>
    <row r="955" spans="1:4" x14ac:dyDescent="0.25">
      <c r="A955" t="s">
        <v>134</v>
      </c>
      <c r="B955" s="2">
        <v>45661</v>
      </c>
      <c r="C955" s="1">
        <v>7</v>
      </c>
      <c r="D955" t="s">
        <v>29</v>
      </c>
    </row>
    <row r="956" spans="1:4" x14ac:dyDescent="0.25">
      <c r="A956" t="s">
        <v>107</v>
      </c>
      <c r="B956" s="2">
        <v>45664</v>
      </c>
      <c r="C956" s="1">
        <v>6</v>
      </c>
      <c r="D956" t="s">
        <v>29</v>
      </c>
    </row>
    <row r="957" spans="1:4" x14ac:dyDescent="0.25">
      <c r="A957" t="s">
        <v>132</v>
      </c>
      <c r="B957" s="2">
        <v>45665</v>
      </c>
      <c r="C957" s="1">
        <v>6</v>
      </c>
      <c r="D957" t="s">
        <v>29</v>
      </c>
    </row>
    <row r="958" spans="1:4" x14ac:dyDescent="0.25">
      <c r="A958" t="s">
        <v>98</v>
      </c>
      <c r="B958" s="2">
        <v>45659</v>
      </c>
      <c r="C958" s="1">
        <v>7.2</v>
      </c>
      <c r="D958" t="s">
        <v>29</v>
      </c>
    </row>
    <row r="959" spans="1:4" x14ac:dyDescent="0.25">
      <c r="A959" t="s">
        <v>77</v>
      </c>
      <c r="B959" s="2">
        <v>45660</v>
      </c>
      <c r="C959" s="1">
        <v>7.2</v>
      </c>
      <c r="D959" t="s">
        <v>29</v>
      </c>
    </row>
    <row r="960" spans="1:4" x14ac:dyDescent="0.25">
      <c r="A960" t="s">
        <v>134</v>
      </c>
      <c r="B960" s="2">
        <v>45670</v>
      </c>
      <c r="C960" s="1">
        <v>7.2</v>
      </c>
      <c r="D960" t="s">
        <v>29</v>
      </c>
    </row>
    <row r="961" spans="1:4" x14ac:dyDescent="0.25">
      <c r="A961" t="s">
        <v>91</v>
      </c>
      <c r="B961" s="2">
        <v>45671</v>
      </c>
      <c r="C961" s="1">
        <v>7.2</v>
      </c>
      <c r="D961" t="s">
        <v>29</v>
      </c>
    </row>
    <row r="962" spans="1:4" x14ac:dyDescent="0.25">
      <c r="A962" t="s">
        <v>69</v>
      </c>
      <c r="B962" s="2">
        <v>45672</v>
      </c>
      <c r="C962" s="1">
        <v>7.2</v>
      </c>
      <c r="D962" t="s">
        <v>29</v>
      </c>
    </row>
    <row r="963" spans="1:4" x14ac:dyDescent="0.25">
      <c r="A963" t="s">
        <v>82</v>
      </c>
      <c r="B963" s="2">
        <v>45673</v>
      </c>
      <c r="C963" s="1">
        <v>3.25</v>
      </c>
      <c r="D963" t="s">
        <v>29</v>
      </c>
    </row>
    <row r="964" spans="1:4" x14ac:dyDescent="0.25">
      <c r="A964" t="s">
        <v>102</v>
      </c>
      <c r="B964" s="2">
        <v>45677</v>
      </c>
      <c r="C964" s="1">
        <v>1.83</v>
      </c>
      <c r="D964" t="s">
        <v>29</v>
      </c>
    </row>
    <row r="965" spans="1:4" x14ac:dyDescent="0.25">
      <c r="A965" t="s">
        <v>121</v>
      </c>
      <c r="B965" s="2">
        <v>45667</v>
      </c>
      <c r="C965" s="1">
        <v>7.2</v>
      </c>
      <c r="D965" t="s">
        <v>29</v>
      </c>
    </row>
    <row r="966" spans="1:4" x14ac:dyDescent="0.25">
      <c r="A966" t="s">
        <v>131</v>
      </c>
      <c r="B966" s="2">
        <v>45674</v>
      </c>
      <c r="C966" s="1">
        <v>3.02</v>
      </c>
      <c r="D966" t="s">
        <v>29</v>
      </c>
    </row>
    <row r="967" spans="1:4" x14ac:dyDescent="0.25">
      <c r="A967" t="s">
        <v>124</v>
      </c>
      <c r="B967" s="2">
        <v>45659</v>
      </c>
      <c r="C967" s="1">
        <v>7.2</v>
      </c>
      <c r="D967" t="s">
        <v>29</v>
      </c>
    </row>
    <row r="968" spans="1:4" x14ac:dyDescent="0.25">
      <c r="A968" t="s">
        <v>140</v>
      </c>
      <c r="B968" s="2">
        <v>45660</v>
      </c>
      <c r="C968" s="1">
        <v>7.2</v>
      </c>
      <c r="D968" t="s">
        <v>29</v>
      </c>
    </row>
    <row r="969" spans="1:4" x14ac:dyDescent="0.25">
      <c r="A969" t="s">
        <v>91</v>
      </c>
      <c r="B969" s="2">
        <v>45681</v>
      </c>
      <c r="C969" s="1">
        <v>7.2</v>
      </c>
      <c r="D969" t="s">
        <v>29</v>
      </c>
    </row>
    <row r="970" spans="1:4" x14ac:dyDescent="0.25">
      <c r="A970" t="s">
        <v>68</v>
      </c>
      <c r="B970" s="2">
        <v>45686</v>
      </c>
      <c r="C970" s="1">
        <v>1</v>
      </c>
      <c r="D970" t="s">
        <v>29</v>
      </c>
    </row>
    <row r="971" spans="1:4" x14ac:dyDescent="0.25">
      <c r="A971" t="s">
        <v>65</v>
      </c>
      <c r="B971" s="2">
        <v>45659</v>
      </c>
      <c r="C971" s="1">
        <v>6</v>
      </c>
      <c r="D971" t="s">
        <v>29</v>
      </c>
    </row>
    <row r="972" spans="1:4" x14ac:dyDescent="0.25">
      <c r="A972" t="s">
        <v>89</v>
      </c>
      <c r="B972" s="2">
        <v>45660</v>
      </c>
      <c r="C972" s="1">
        <v>6</v>
      </c>
      <c r="D972" t="s">
        <v>29</v>
      </c>
    </row>
    <row r="973" spans="1:4" x14ac:dyDescent="0.25">
      <c r="A973" t="s">
        <v>67</v>
      </c>
      <c r="B973" s="2">
        <v>45661</v>
      </c>
      <c r="C973" s="1">
        <v>6</v>
      </c>
      <c r="D973" t="s">
        <v>29</v>
      </c>
    </row>
    <row r="974" spans="1:4" x14ac:dyDescent="0.25">
      <c r="A974" t="s">
        <v>72</v>
      </c>
      <c r="B974" s="2">
        <v>45668</v>
      </c>
      <c r="C974" s="1">
        <v>6</v>
      </c>
      <c r="D974" t="s">
        <v>29</v>
      </c>
    </row>
    <row r="975" spans="1:4" x14ac:dyDescent="0.25">
      <c r="A975" t="s">
        <v>127</v>
      </c>
      <c r="B975" s="2">
        <v>45670</v>
      </c>
      <c r="C975" s="1">
        <v>6</v>
      </c>
      <c r="D975" t="s">
        <v>29</v>
      </c>
    </row>
    <row r="976" spans="1:4" x14ac:dyDescent="0.25">
      <c r="A976" t="s">
        <v>104</v>
      </c>
      <c r="B976" s="2">
        <v>45671</v>
      </c>
      <c r="C976" s="1">
        <v>6</v>
      </c>
      <c r="D976" t="s">
        <v>29</v>
      </c>
    </row>
    <row r="977" spans="1:4" x14ac:dyDescent="0.25">
      <c r="A977" t="s">
        <v>93</v>
      </c>
      <c r="B977" s="2">
        <v>45672</v>
      </c>
      <c r="C977" s="1">
        <v>6</v>
      </c>
      <c r="D977" t="s">
        <v>29</v>
      </c>
    </row>
    <row r="978" spans="1:4" x14ac:dyDescent="0.25">
      <c r="A978" t="s">
        <v>65</v>
      </c>
      <c r="B978" s="2">
        <v>45675</v>
      </c>
      <c r="C978" s="1">
        <v>0.92</v>
      </c>
      <c r="D978" t="s">
        <v>29</v>
      </c>
    </row>
    <row r="979" spans="1:4" x14ac:dyDescent="0.25">
      <c r="A979" t="s">
        <v>72</v>
      </c>
      <c r="B979" s="2">
        <v>45659</v>
      </c>
      <c r="C979" s="1">
        <v>7.2</v>
      </c>
      <c r="D979" t="s">
        <v>29</v>
      </c>
    </row>
    <row r="980" spans="1:4" x14ac:dyDescent="0.25">
      <c r="A980" t="s">
        <v>69</v>
      </c>
      <c r="B980" s="2">
        <v>45660</v>
      </c>
      <c r="C980" s="1">
        <v>7.2</v>
      </c>
      <c r="D980" t="s">
        <v>29</v>
      </c>
    </row>
    <row r="981" spans="1:4" x14ac:dyDescent="0.25">
      <c r="A981" t="s">
        <v>90</v>
      </c>
      <c r="B981" s="2">
        <v>45670</v>
      </c>
      <c r="C981" s="1">
        <v>7.2</v>
      </c>
      <c r="D981" t="s">
        <v>29</v>
      </c>
    </row>
    <row r="982" spans="1:4" x14ac:dyDescent="0.25">
      <c r="A982" t="s">
        <v>83</v>
      </c>
      <c r="B982" s="2">
        <v>45671</v>
      </c>
      <c r="C982" s="1">
        <v>7.2</v>
      </c>
      <c r="D982" t="s">
        <v>29</v>
      </c>
    </row>
    <row r="983" spans="1:4" x14ac:dyDescent="0.25">
      <c r="A983" t="s">
        <v>124</v>
      </c>
      <c r="B983" s="2">
        <v>45672</v>
      </c>
      <c r="C983" s="1">
        <v>7.2</v>
      </c>
      <c r="D983" t="s">
        <v>29</v>
      </c>
    </row>
    <row r="984" spans="1:4" x14ac:dyDescent="0.25">
      <c r="A984" t="s">
        <v>129</v>
      </c>
      <c r="B984" s="2">
        <v>45660</v>
      </c>
      <c r="C984" s="1">
        <v>7.2</v>
      </c>
      <c r="D984" t="s">
        <v>29</v>
      </c>
    </row>
    <row r="985" spans="1:4" x14ac:dyDescent="0.25">
      <c r="A985" t="s">
        <v>66</v>
      </c>
      <c r="B985" s="2">
        <v>45667</v>
      </c>
      <c r="C985" s="1">
        <v>0.92</v>
      </c>
      <c r="D985" t="s">
        <v>29</v>
      </c>
    </row>
    <row r="986" spans="1:4" x14ac:dyDescent="0.25">
      <c r="A986" t="s">
        <v>68</v>
      </c>
      <c r="B986" s="2">
        <v>45678</v>
      </c>
      <c r="C986" s="1">
        <v>0.73</v>
      </c>
      <c r="D986" t="s">
        <v>29</v>
      </c>
    </row>
    <row r="987" spans="1:4" x14ac:dyDescent="0.25">
      <c r="A987" t="s">
        <v>124</v>
      </c>
      <c r="B987" s="2">
        <v>45659</v>
      </c>
      <c r="C987" s="1">
        <v>6</v>
      </c>
      <c r="D987" t="s">
        <v>29</v>
      </c>
    </row>
    <row r="988" spans="1:4" x14ac:dyDescent="0.25">
      <c r="A988" t="s">
        <v>86</v>
      </c>
      <c r="B988" s="2">
        <v>45660</v>
      </c>
      <c r="C988" s="1">
        <v>7</v>
      </c>
      <c r="D988" t="s">
        <v>29</v>
      </c>
    </row>
    <row r="989" spans="1:4" x14ac:dyDescent="0.25">
      <c r="A989" t="s">
        <v>133</v>
      </c>
      <c r="B989" s="2">
        <v>45661</v>
      </c>
      <c r="C989" s="1">
        <v>6</v>
      </c>
      <c r="D989" t="s">
        <v>29</v>
      </c>
    </row>
    <row r="990" spans="1:4" x14ac:dyDescent="0.25">
      <c r="A990" t="s">
        <v>130</v>
      </c>
      <c r="B990" s="2">
        <v>45681</v>
      </c>
      <c r="C990" s="1">
        <v>6</v>
      </c>
      <c r="D990" t="s">
        <v>29</v>
      </c>
    </row>
    <row r="991" spans="1:4" x14ac:dyDescent="0.25">
      <c r="A991" t="s">
        <v>111</v>
      </c>
      <c r="B991" s="2">
        <v>45681</v>
      </c>
      <c r="C991" s="1">
        <v>7.2</v>
      </c>
      <c r="D991" t="s">
        <v>29</v>
      </c>
    </row>
    <row r="992" spans="1:4" x14ac:dyDescent="0.25">
      <c r="A992" t="s">
        <v>146</v>
      </c>
      <c r="B992" s="2">
        <v>45684</v>
      </c>
      <c r="C992" s="1">
        <v>7.2</v>
      </c>
      <c r="D992" t="s">
        <v>29</v>
      </c>
    </row>
    <row r="993" spans="1:4" x14ac:dyDescent="0.25">
      <c r="A993" t="s">
        <v>149</v>
      </c>
      <c r="B993" s="2">
        <v>45659</v>
      </c>
      <c r="C993" s="1">
        <v>0.78</v>
      </c>
      <c r="D993" t="s">
        <v>29</v>
      </c>
    </row>
    <row r="994" spans="1:4" x14ac:dyDescent="0.25">
      <c r="A994" t="s">
        <v>78</v>
      </c>
      <c r="B994" s="2">
        <v>45660</v>
      </c>
      <c r="C994" s="1">
        <v>0.87</v>
      </c>
      <c r="D994" t="s">
        <v>29</v>
      </c>
    </row>
    <row r="995" spans="1:4" x14ac:dyDescent="0.25">
      <c r="A995" t="s">
        <v>98</v>
      </c>
      <c r="B995" s="2">
        <v>45659</v>
      </c>
      <c r="C995" s="1">
        <v>6</v>
      </c>
      <c r="D995" t="s">
        <v>29</v>
      </c>
    </row>
    <row r="996" spans="1:4" x14ac:dyDescent="0.25">
      <c r="A996" t="s">
        <v>97</v>
      </c>
      <c r="B996" s="2">
        <v>45660</v>
      </c>
      <c r="C996" s="1">
        <v>6</v>
      </c>
      <c r="D996" t="s">
        <v>29</v>
      </c>
    </row>
    <row r="997" spans="1:4" x14ac:dyDescent="0.25">
      <c r="A997" t="s">
        <v>90</v>
      </c>
      <c r="B997" s="2">
        <v>45661</v>
      </c>
      <c r="C997" s="1">
        <v>6</v>
      </c>
      <c r="D997" t="s">
        <v>29</v>
      </c>
    </row>
    <row r="998" spans="1:4" x14ac:dyDescent="0.25">
      <c r="A998" t="s">
        <v>123</v>
      </c>
      <c r="B998" s="2">
        <v>45686</v>
      </c>
      <c r="C998" s="1">
        <v>6</v>
      </c>
      <c r="D998" t="s">
        <v>29</v>
      </c>
    </row>
    <row r="999" spans="1:4" x14ac:dyDescent="0.25">
      <c r="A999" t="s">
        <v>77</v>
      </c>
      <c r="B999" s="2">
        <v>45687</v>
      </c>
      <c r="C999" s="1">
        <v>6</v>
      </c>
      <c r="D999" t="s">
        <v>29</v>
      </c>
    </row>
    <row r="1000" spans="1:4" x14ac:dyDescent="0.25">
      <c r="A1000" t="s">
        <v>129</v>
      </c>
      <c r="B1000" s="2">
        <v>45659</v>
      </c>
      <c r="C1000" s="1">
        <v>1.2</v>
      </c>
      <c r="D1000" t="s">
        <v>29</v>
      </c>
    </row>
    <row r="1001" spans="1:4" x14ac:dyDescent="0.25">
      <c r="A1001" t="s">
        <v>77</v>
      </c>
      <c r="B1001" s="2">
        <v>45660</v>
      </c>
      <c r="C1001" s="1">
        <v>1.2</v>
      </c>
      <c r="D1001" t="s">
        <v>29</v>
      </c>
    </row>
    <row r="1002" spans="1:4" x14ac:dyDescent="0.25">
      <c r="A1002" t="s">
        <v>101</v>
      </c>
      <c r="B1002" s="2">
        <v>45674</v>
      </c>
      <c r="C1002" s="1">
        <v>7.2</v>
      </c>
      <c r="D1002" t="s">
        <v>29</v>
      </c>
    </row>
    <row r="1003" spans="1:4" x14ac:dyDescent="0.25">
      <c r="A1003" t="s">
        <v>115</v>
      </c>
      <c r="B1003" s="2">
        <v>45659</v>
      </c>
      <c r="C1003" s="1">
        <v>7.2</v>
      </c>
      <c r="D1003" t="s">
        <v>29</v>
      </c>
    </row>
    <row r="1004" spans="1:4" x14ac:dyDescent="0.25">
      <c r="A1004" t="s">
        <v>80</v>
      </c>
      <c r="B1004" s="2">
        <v>45660</v>
      </c>
      <c r="C1004" s="1">
        <v>7.2</v>
      </c>
      <c r="D1004" t="s">
        <v>29</v>
      </c>
    </row>
    <row r="1005" spans="1:4" x14ac:dyDescent="0.25">
      <c r="A1005" t="s">
        <v>102</v>
      </c>
      <c r="B1005" s="2">
        <v>45664</v>
      </c>
      <c r="C1005" s="1">
        <v>7.2</v>
      </c>
      <c r="D1005" t="s">
        <v>29</v>
      </c>
    </row>
    <row r="1006" spans="1:4" x14ac:dyDescent="0.25">
      <c r="A1006" t="s">
        <v>137</v>
      </c>
      <c r="B1006" s="2">
        <v>45673</v>
      </c>
      <c r="C1006" s="1">
        <v>1.37</v>
      </c>
      <c r="D1006" t="s">
        <v>29</v>
      </c>
    </row>
    <row r="1007" spans="1:4" x14ac:dyDescent="0.25">
      <c r="A1007" t="s">
        <v>104</v>
      </c>
      <c r="B1007" s="2">
        <v>45684</v>
      </c>
      <c r="C1007" s="1">
        <v>0.5</v>
      </c>
      <c r="D1007" t="s">
        <v>29</v>
      </c>
    </row>
    <row r="1008" spans="1:4" x14ac:dyDescent="0.25">
      <c r="A1008" t="s">
        <v>100</v>
      </c>
      <c r="B1008" s="2">
        <v>45659</v>
      </c>
      <c r="C1008" s="1">
        <v>7.2</v>
      </c>
      <c r="D1008" t="s">
        <v>29</v>
      </c>
    </row>
    <row r="1009" spans="1:4" x14ac:dyDescent="0.25">
      <c r="A1009" t="s">
        <v>67</v>
      </c>
      <c r="B1009" s="2">
        <v>45660</v>
      </c>
      <c r="C1009" s="1">
        <v>7.2</v>
      </c>
      <c r="D1009" t="s">
        <v>29</v>
      </c>
    </row>
    <row r="1010" spans="1:4" x14ac:dyDescent="0.25">
      <c r="A1010" t="s">
        <v>110</v>
      </c>
      <c r="B1010" s="2">
        <v>45677</v>
      </c>
      <c r="C1010" s="1">
        <v>7.2</v>
      </c>
      <c r="D1010" t="s">
        <v>29</v>
      </c>
    </row>
    <row r="1011" spans="1:4" x14ac:dyDescent="0.25">
      <c r="A1011" t="s">
        <v>73</v>
      </c>
      <c r="B1011" s="2">
        <v>45660</v>
      </c>
      <c r="C1011" s="1">
        <v>7.2</v>
      </c>
      <c r="D1011" t="s">
        <v>29</v>
      </c>
    </row>
    <row r="1012" spans="1:4" x14ac:dyDescent="0.25">
      <c r="A1012" t="s">
        <v>124</v>
      </c>
      <c r="B1012" s="2">
        <v>45659</v>
      </c>
      <c r="C1012" s="1">
        <v>6</v>
      </c>
      <c r="D1012" t="s">
        <v>29</v>
      </c>
    </row>
    <row r="1013" spans="1:4" x14ac:dyDescent="0.25">
      <c r="A1013" t="s">
        <v>86</v>
      </c>
      <c r="B1013" s="2">
        <v>45660</v>
      </c>
      <c r="C1013" s="1">
        <v>6</v>
      </c>
      <c r="D1013" t="s">
        <v>29</v>
      </c>
    </row>
    <row r="1014" spans="1:4" x14ac:dyDescent="0.25">
      <c r="A1014" t="s">
        <v>92</v>
      </c>
      <c r="B1014" s="2">
        <v>45661</v>
      </c>
      <c r="C1014" s="1">
        <v>6</v>
      </c>
      <c r="D1014" t="s">
        <v>29</v>
      </c>
    </row>
    <row r="1015" spans="1:4" x14ac:dyDescent="0.25">
      <c r="A1015" t="s">
        <v>130</v>
      </c>
      <c r="B1015" s="2">
        <v>45674</v>
      </c>
      <c r="C1015" s="1">
        <v>6</v>
      </c>
      <c r="D1015" t="s">
        <v>29</v>
      </c>
    </row>
    <row r="1016" spans="1:4" x14ac:dyDescent="0.25">
      <c r="A1016" t="s">
        <v>97</v>
      </c>
      <c r="B1016" s="2">
        <v>45665</v>
      </c>
      <c r="C1016" s="1">
        <v>0.97</v>
      </c>
      <c r="D1016" t="s">
        <v>29</v>
      </c>
    </row>
    <row r="1017" spans="1:4" x14ac:dyDescent="0.25">
      <c r="A1017" t="s">
        <v>118</v>
      </c>
      <c r="B1017" s="2">
        <v>45671</v>
      </c>
      <c r="C1017" s="1">
        <v>7.2</v>
      </c>
      <c r="D1017" t="s">
        <v>29</v>
      </c>
    </row>
    <row r="1018" spans="1:4" x14ac:dyDescent="0.25">
      <c r="A1018" t="s">
        <v>82</v>
      </c>
      <c r="B1018" s="2">
        <v>45681</v>
      </c>
      <c r="C1018" s="1">
        <v>0.48</v>
      </c>
      <c r="D1018" t="s">
        <v>29</v>
      </c>
    </row>
    <row r="1019" spans="1:4" x14ac:dyDescent="0.25">
      <c r="A1019" t="s">
        <v>98</v>
      </c>
      <c r="B1019" s="2">
        <v>45660</v>
      </c>
      <c r="C1019" s="1">
        <v>7.2</v>
      </c>
      <c r="D1019" t="s">
        <v>29</v>
      </c>
    </row>
    <row r="1020" spans="1:4" x14ac:dyDescent="0.25">
      <c r="A1020" t="s">
        <v>125</v>
      </c>
      <c r="B1020" s="2">
        <v>45688</v>
      </c>
      <c r="C1020" s="1">
        <v>7.2</v>
      </c>
      <c r="D1020" t="s">
        <v>29</v>
      </c>
    </row>
    <row r="1021" spans="1:4" x14ac:dyDescent="0.25">
      <c r="A1021" t="s">
        <v>80</v>
      </c>
      <c r="B1021" s="2">
        <v>45659</v>
      </c>
      <c r="C1021" s="1">
        <v>7.2</v>
      </c>
      <c r="D1021" t="s">
        <v>29</v>
      </c>
    </row>
    <row r="1022" spans="1:4" x14ac:dyDescent="0.25">
      <c r="A1022" t="s">
        <v>80</v>
      </c>
      <c r="B1022" s="2">
        <v>45660</v>
      </c>
      <c r="C1022" s="1">
        <v>7.2</v>
      </c>
      <c r="D1022" t="s">
        <v>29</v>
      </c>
    </row>
    <row r="1023" spans="1:4" x14ac:dyDescent="0.25">
      <c r="A1023" t="s">
        <v>80</v>
      </c>
      <c r="B1023" s="2">
        <v>45667</v>
      </c>
      <c r="C1023" s="1">
        <v>7.2</v>
      </c>
      <c r="D1023" t="s">
        <v>29</v>
      </c>
    </row>
    <row r="1024" spans="1:4" x14ac:dyDescent="0.25">
      <c r="A1024" t="s">
        <v>83</v>
      </c>
      <c r="B1024" s="2">
        <v>45688</v>
      </c>
      <c r="C1024" s="1">
        <v>0.8</v>
      </c>
      <c r="D1024" t="s">
        <v>29</v>
      </c>
    </row>
    <row r="1025" spans="1:4" x14ac:dyDescent="0.25">
      <c r="A1025" t="s">
        <v>69</v>
      </c>
      <c r="B1025" s="2">
        <v>45659</v>
      </c>
      <c r="C1025" s="1">
        <v>6</v>
      </c>
      <c r="D1025" t="s">
        <v>29</v>
      </c>
    </row>
    <row r="1026" spans="1:4" x14ac:dyDescent="0.25">
      <c r="A1026" t="s">
        <v>68</v>
      </c>
      <c r="B1026" s="2">
        <v>45660</v>
      </c>
      <c r="C1026" s="1">
        <v>6</v>
      </c>
      <c r="D1026" t="s">
        <v>29</v>
      </c>
    </row>
    <row r="1027" spans="1:4" x14ac:dyDescent="0.25">
      <c r="A1027" t="s">
        <v>114</v>
      </c>
      <c r="B1027" s="2">
        <v>45659</v>
      </c>
      <c r="C1027" s="1">
        <v>7.2</v>
      </c>
      <c r="D1027" t="s">
        <v>29</v>
      </c>
    </row>
    <row r="1028" spans="1:4" x14ac:dyDescent="0.25">
      <c r="A1028" t="s">
        <v>76</v>
      </c>
      <c r="B1028" s="2">
        <v>45660</v>
      </c>
      <c r="C1028" s="1">
        <v>7.2</v>
      </c>
      <c r="D1028" t="s">
        <v>29</v>
      </c>
    </row>
    <row r="1029" spans="1:4" x14ac:dyDescent="0.25">
      <c r="A1029" t="s">
        <v>93</v>
      </c>
      <c r="B1029" s="2">
        <v>45659</v>
      </c>
      <c r="C1029" s="1">
        <v>7.2</v>
      </c>
      <c r="D1029" t="s">
        <v>29</v>
      </c>
    </row>
    <row r="1030" spans="1:4" x14ac:dyDescent="0.25">
      <c r="A1030" t="s">
        <v>70</v>
      </c>
      <c r="B1030" s="2">
        <v>45660</v>
      </c>
      <c r="C1030" s="1">
        <v>7.2</v>
      </c>
      <c r="D1030" t="s">
        <v>29</v>
      </c>
    </row>
    <row r="1031" spans="1:4" x14ac:dyDescent="0.25">
      <c r="A1031" t="s">
        <v>102</v>
      </c>
      <c r="B1031" s="2">
        <v>45673</v>
      </c>
      <c r="C1031" s="1">
        <v>7.2</v>
      </c>
      <c r="D1031" t="s">
        <v>29</v>
      </c>
    </row>
    <row r="1032" spans="1:4" x14ac:dyDescent="0.25">
      <c r="A1032" t="s">
        <v>134</v>
      </c>
      <c r="B1032" s="2">
        <v>45679</v>
      </c>
      <c r="C1032" s="1">
        <v>7.2</v>
      </c>
      <c r="D1032" t="s">
        <v>29</v>
      </c>
    </row>
    <row r="1033" spans="1:4" x14ac:dyDescent="0.25">
      <c r="A1033" t="s">
        <v>138</v>
      </c>
      <c r="B1033" s="2">
        <v>45684</v>
      </c>
      <c r="C1033" s="1">
        <v>7.2</v>
      </c>
      <c r="D1033" t="s">
        <v>29</v>
      </c>
    </row>
    <row r="1034" spans="1:4" x14ac:dyDescent="0.25">
      <c r="A1034" t="s">
        <v>119</v>
      </c>
      <c r="B1034" s="2">
        <v>45685</v>
      </c>
      <c r="C1034" s="1">
        <v>7.2</v>
      </c>
      <c r="D1034" t="s">
        <v>29</v>
      </c>
    </row>
    <row r="1035" spans="1:4" x14ac:dyDescent="0.25">
      <c r="A1035" t="s">
        <v>137</v>
      </c>
      <c r="B1035" s="2">
        <v>45686</v>
      </c>
      <c r="C1035" s="1">
        <v>7.2</v>
      </c>
      <c r="D1035" t="s">
        <v>29</v>
      </c>
    </row>
    <row r="1036" spans="1:4" x14ac:dyDescent="0.25">
      <c r="A1036" t="s">
        <v>73</v>
      </c>
      <c r="B1036" s="2">
        <v>45687</v>
      </c>
      <c r="C1036" s="1">
        <v>7.2</v>
      </c>
      <c r="D1036" t="s">
        <v>29</v>
      </c>
    </row>
    <row r="1037" spans="1:4" x14ac:dyDescent="0.25">
      <c r="A1037" t="s">
        <v>65</v>
      </c>
      <c r="B1037" s="2">
        <v>45688</v>
      </c>
      <c r="C1037" s="1">
        <v>7.2</v>
      </c>
      <c r="D1037" t="s">
        <v>29</v>
      </c>
    </row>
    <row r="1038" spans="1:4" x14ac:dyDescent="0.25">
      <c r="A1038" t="s">
        <v>144</v>
      </c>
      <c r="B1038" s="2">
        <v>45659</v>
      </c>
      <c r="C1038" s="1">
        <v>7.2</v>
      </c>
      <c r="D1038" t="s">
        <v>29</v>
      </c>
    </row>
    <row r="1039" spans="1:4" x14ac:dyDescent="0.25">
      <c r="A1039" t="s">
        <v>112</v>
      </c>
      <c r="B1039" s="2">
        <v>45664</v>
      </c>
      <c r="C1039" s="1">
        <v>0.35</v>
      </c>
      <c r="D1039" t="s">
        <v>29</v>
      </c>
    </row>
    <row r="1040" spans="1:4" x14ac:dyDescent="0.25">
      <c r="A1040" t="s">
        <v>75</v>
      </c>
      <c r="B1040" s="2">
        <v>45668</v>
      </c>
      <c r="C1040" s="1">
        <v>1.68</v>
      </c>
      <c r="D1040" t="s">
        <v>29</v>
      </c>
    </row>
    <row r="1041" spans="1:4" x14ac:dyDescent="0.25">
      <c r="A1041" t="s">
        <v>74</v>
      </c>
      <c r="B1041" s="2">
        <v>45681</v>
      </c>
      <c r="C1041" s="1">
        <v>7.2</v>
      </c>
      <c r="D1041" t="s">
        <v>29</v>
      </c>
    </row>
    <row r="1042" spans="1:4" x14ac:dyDescent="0.25">
      <c r="A1042" t="s">
        <v>120</v>
      </c>
      <c r="B1042" s="2">
        <v>45659</v>
      </c>
      <c r="C1042" s="1">
        <v>7.2</v>
      </c>
      <c r="D1042" t="s">
        <v>29</v>
      </c>
    </row>
    <row r="1043" spans="1:4" x14ac:dyDescent="0.25">
      <c r="A1043" t="s">
        <v>108</v>
      </c>
      <c r="B1043" s="2">
        <v>45660</v>
      </c>
      <c r="C1043" s="1">
        <v>1.2</v>
      </c>
      <c r="D1043" t="s">
        <v>29</v>
      </c>
    </row>
    <row r="1044" spans="1:4" x14ac:dyDescent="0.25">
      <c r="A1044" t="s">
        <v>125</v>
      </c>
      <c r="B1044" s="2">
        <v>45659</v>
      </c>
      <c r="C1044" s="1">
        <v>7.2</v>
      </c>
      <c r="D1044" t="s">
        <v>29</v>
      </c>
    </row>
    <row r="1045" spans="1:4" x14ac:dyDescent="0.25">
      <c r="A1045" t="s">
        <v>111</v>
      </c>
      <c r="B1045" s="2">
        <v>45660</v>
      </c>
      <c r="C1045" s="1">
        <v>7.2</v>
      </c>
      <c r="D1045" t="s">
        <v>29</v>
      </c>
    </row>
    <row r="1046" spans="1:4" x14ac:dyDescent="0.25">
      <c r="A1046" t="s">
        <v>122</v>
      </c>
      <c r="B1046" s="2">
        <v>45677</v>
      </c>
      <c r="C1046" s="1">
        <v>7.2</v>
      </c>
      <c r="D1046" t="s">
        <v>29</v>
      </c>
    </row>
    <row r="1047" spans="1:4" x14ac:dyDescent="0.25">
      <c r="A1047" t="s">
        <v>68</v>
      </c>
      <c r="B1047" s="2">
        <v>45686</v>
      </c>
      <c r="C1047" s="1">
        <v>1.2</v>
      </c>
      <c r="D1047" t="s">
        <v>29</v>
      </c>
    </row>
    <row r="1048" spans="1:4" x14ac:dyDescent="0.25">
      <c r="A1048" t="s">
        <v>76</v>
      </c>
      <c r="B1048" s="2">
        <v>45687</v>
      </c>
      <c r="C1048" s="1">
        <v>7.2</v>
      </c>
      <c r="D1048" t="s">
        <v>29</v>
      </c>
    </row>
    <row r="1049" spans="1:4" x14ac:dyDescent="0.25">
      <c r="A1049" t="s">
        <v>104</v>
      </c>
      <c r="B1049" s="2">
        <v>45688</v>
      </c>
      <c r="C1049" s="1">
        <v>7.2</v>
      </c>
      <c r="D1049" t="s">
        <v>29</v>
      </c>
    </row>
    <row r="1050" spans="1:4" x14ac:dyDescent="0.25">
      <c r="A1050" t="s">
        <v>72</v>
      </c>
      <c r="B1050" s="2">
        <v>45659</v>
      </c>
      <c r="C1050" s="1">
        <v>7.2</v>
      </c>
      <c r="D1050" t="s">
        <v>29</v>
      </c>
    </row>
    <row r="1051" spans="1:4" x14ac:dyDescent="0.25">
      <c r="A1051" t="s">
        <v>107</v>
      </c>
      <c r="B1051" s="2">
        <v>45660</v>
      </c>
      <c r="C1051" s="1">
        <v>7.2</v>
      </c>
      <c r="D1051" t="s">
        <v>29</v>
      </c>
    </row>
    <row r="1052" spans="1:4" x14ac:dyDescent="0.25">
      <c r="A1052" t="s">
        <v>126</v>
      </c>
      <c r="B1052" s="2">
        <v>45659</v>
      </c>
      <c r="C1052" s="1">
        <v>7.2</v>
      </c>
      <c r="D1052" t="s">
        <v>29</v>
      </c>
    </row>
    <row r="1053" spans="1:4" x14ac:dyDescent="0.25">
      <c r="A1053" t="s">
        <v>75</v>
      </c>
      <c r="B1053" s="2">
        <v>45660</v>
      </c>
      <c r="C1053" s="1">
        <v>7.2</v>
      </c>
      <c r="D1053" t="s">
        <v>29</v>
      </c>
    </row>
    <row r="1054" spans="1:4" x14ac:dyDescent="0.25">
      <c r="A1054" t="s">
        <v>80</v>
      </c>
      <c r="B1054" s="2">
        <v>45688</v>
      </c>
      <c r="C1054" s="1">
        <v>0.73</v>
      </c>
      <c r="D1054" t="s">
        <v>29</v>
      </c>
    </row>
    <row r="1055" spans="1:4" x14ac:dyDescent="0.25">
      <c r="A1055" t="s">
        <v>67</v>
      </c>
      <c r="B1055" s="2">
        <v>45659</v>
      </c>
      <c r="C1055" s="1">
        <v>7.2</v>
      </c>
      <c r="D1055" t="s">
        <v>29</v>
      </c>
    </row>
    <row r="1056" spans="1:4" x14ac:dyDescent="0.25">
      <c r="A1056" t="s">
        <v>124</v>
      </c>
      <c r="B1056" s="2">
        <v>45660</v>
      </c>
      <c r="C1056" s="1">
        <v>7.2</v>
      </c>
      <c r="D1056" t="s">
        <v>29</v>
      </c>
    </row>
    <row r="1057" spans="1:4" x14ac:dyDescent="0.25">
      <c r="A1057" t="s">
        <v>117</v>
      </c>
      <c r="B1057" s="2">
        <v>45667</v>
      </c>
      <c r="C1057" s="1">
        <v>0.57999999999999996</v>
      </c>
      <c r="D1057" t="s">
        <v>29</v>
      </c>
    </row>
    <row r="1058" spans="1:4" x14ac:dyDescent="0.25">
      <c r="A1058" t="s">
        <v>106</v>
      </c>
      <c r="B1058" s="2">
        <v>45674</v>
      </c>
      <c r="C1058" s="1">
        <v>0.85</v>
      </c>
      <c r="D1058" t="s">
        <v>29</v>
      </c>
    </row>
    <row r="1059" spans="1:4" x14ac:dyDescent="0.25">
      <c r="A1059" t="s">
        <v>123</v>
      </c>
      <c r="B1059" s="2">
        <v>45698</v>
      </c>
      <c r="C1059" s="1">
        <v>7.2</v>
      </c>
      <c r="D1059" t="s">
        <v>29</v>
      </c>
    </row>
    <row r="1060" spans="1:4" x14ac:dyDescent="0.25">
      <c r="A1060" t="s">
        <v>69</v>
      </c>
      <c r="B1060" s="2">
        <v>45699</v>
      </c>
      <c r="C1060" s="1">
        <v>7.2</v>
      </c>
      <c r="D1060" t="s">
        <v>29</v>
      </c>
    </row>
    <row r="1061" spans="1:4" x14ac:dyDescent="0.25">
      <c r="A1061" t="s">
        <v>72</v>
      </c>
      <c r="B1061" s="2">
        <v>45715</v>
      </c>
      <c r="C1061" s="1">
        <v>7.2</v>
      </c>
      <c r="D1061" t="s">
        <v>29</v>
      </c>
    </row>
    <row r="1062" spans="1:4" x14ac:dyDescent="0.25">
      <c r="A1062" t="s">
        <v>124</v>
      </c>
      <c r="B1062" s="2">
        <v>45715</v>
      </c>
      <c r="C1062" s="1">
        <v>1</v>
      </c>
      <c r="D1062" t="s">
        <v>29</v>
      </c>
    </row>
    <row r="1063" spans="1:4" x14ac:dyDescent="0.25">
      <c r="A1063" t="s">
        <v>121</v>
      </c>
      <c r="B1063" s="2">
        <v>45710</v>
      </c>
      <c r="C1063" s="1">
        <v>10</v>
      </c>
      <c r="D1063" t="s">
        <v>29</v>
      </c>
    </row>
    <row r="1064" spans="1:4" x14ac:dyDescent="0.25">
      <c r="A1064" t="s">
        <v>91</v>
      </c>
      <c r="B1064" s="2">
        <v>45695</v>
      </c>
      <c r="C1064" s="1">
        <v>0.97</v>
      </c>
      <c r="D1064" t="s">
        <v>29</v>
      </c>
    </row>
    <row r="1065" spans="1:4" x14ac:dyDescent="0.25">
      <c r="A1065" t="s">
        <v>141</v>
      </c>
      <c r="B1065" s="2">
        <v>45692</v>
      </c>
      <c r="C1065" s="1">
        <v>0.5</v>
      </c>
      <c r="D1065" t="s">
        <v>29</v>
      </c>
    </row>
    <row r="1066" spans="1:4" x14ac:dyDescent="0.25">
      <c r="A1066" t="s">
        <v>148</v>
      </c>
      <c r="B1066" s="2">
        <v>45694</v>
      </c>
      <c r="C1066" s="1">
        <v>0.5</v>
      </c>
      <c r="D1066" t="s">
        <v>29</v>
      </c>
    </row>
    <row r="1067" spans="1:4" x14ac:dyDescent="0.25">
      <c r="A1067" t="s">
        <v>119</v>
      </c>
      <c r="B1067" s="2">
        <v>45708</v>
      </c>
      <c r="C1067" s="1">
        <v>7</v>
      </c>
      <c r="D1067" t="s">
        <v>29</v>
      </c>
    </row>
    <row r="1068" spans="1:4" x14ac:dyDescent="0.25">
      <c r="A1068" t="s">
        <v>98</v>
      </c>
      <c r="B1068" s="2">
        <v>45709</v>
      </c>
      <c r="C1068" s="1">
        <v>7</v>
      </c>
      <c r="D1068" t="s">
        <v>29</v>
      </c>
    </row>
    <row r="1069" spans="1:4" x14ac:dyDescent="0.25">
      <c r="A1069" t="s">
        <v>148</v>
      </c>
      <c r="B1069" s="2">
        <v>45712</v>
      </c>
      <c r="C1069" s="1">
        <v>7.5</v>
      </c>
      <c r="D1069" t="s">
        <v>29</v>
      </c>
    </row>
    <row r="1070" spans="1:4" x14ac:dyDescent="0.25">
      <c r="A1070" t="s">
        <v>94</v>
      </c>
      <c r="B1070" s="2">
        <v>45713</v>
      </c>
      <c r="C1070" s="1">
        <v>7.5</v>
      </c>
      <c r="D1070" t="s">
        <v>29</v>
      </c>
    </row>
    <row r="1071" spans="1:4" x14ac:dyDescent="0.25">
      <c r="A1071" t="s">
        <v>129</v>
      </c>
      <c r="B1071" s="2">
        <v>45714</v>
      </c>
      <c r="C1071" s="1">
        <v>7</v>
      </c>
      <c r="D1071" t="s">
        <v>29</v>
      </c>
    </row>
    <row r="1072" spans="1:4" x14ac:dyDescent="0.25">
      <c r="A1072" t="s">
        <v>142</v>
      </c>
      <c r="B1072" s="2">
        <v>45715</v>
      </c>
      <c r="C1072" s="1">
        <v>7</v>
      </c>
      <c r="D1072" t="s">
        <v>29</v>
      </c>
    </row>
    <row r="1073" spans="1:4" x14ac:dyDescent="0.25">
      <c r="A1073" t="s">
        <v>102</v>
      </c>
      <c r="B1073" s="2">
        <v>45716</v>
      </c>
      <c r="C1073" s="1">
        <v>7</v>
      </c>
      <c r="D1073" t="s">
        <v>29</v>
      </c>
    </row>
    <row r="1074" spans="1:4" x14ac:dyDescent="0.25">
      <c r="A1074" t="s">
        <v>136</v>
      </c>
      <c r="B1074" s="2">
        <v>45695</v>
      </c>
      <c r="C1074" s="1">
        <v>1.92</v>
      </c>
      <c r="D1074" t="s">
        <v>29</v>
      </c>
    </row>
    <row r="1075" spans="1:4" x14ac:dyDescent="0.25">
      <c r="A1075" t="s">
        <v>110</v>
      </c>
      <c r="B1075" s="2">
        <v>45710</v>
      </c>
      <c r="C1075" s="1">
        <v>6</v>
      </c>
      <c r="D1075" t="s">
        <v>29</v>
      </c>
    </row>
    <row r="1076" spans="1:4" x14ac:dyDescent="0.25">
      <c r="A1076" t="s">
        <v>116</v>
      </c>
      <c r="B1076" s="2">
        <v>45695</v>
      </c>
      <c r="C1076" s="1">
        <v>0.48</v>
      </c>
      <c r="D1076" t="s">
        <v>29</v>
      </c>
    </row>
    <row r="1077" spans="1:4" x14ac:dyDescent="0.25">
      <c r="A1077" t="s">
        <v>68</v>
      </c>
      <c r="B1077" s="2">
        <v>45701</v>
      </c>
      <c r="C1077" s="1">
        <v>0.33</v>
      </c>
      <c r="D1077" t="s">
        <v>29</v>
      </c>
    </row>
    <row r="1078" spans="1:4" x14ac:dyDescent="0.25">
      <c r="A1078" t="s">
        <v>95</v>
      </c>
      <c r="B1078" s="2">
        <v>45702</v>
      </c>
      <c r="C1078" s="1">
        <v>1.77</v>
      </c>
      <c r="D1078" t="s">
        <v>29</v>
      </c>
    </row>
    <row r="1079" spans="1:4" x14ac:dyDescent="0.25">
      <c r="A1079" t="s">
        <v>68</v>
      </c>
      <c r="B1079" s="2">
        <v>45714</v>
      </c>
      <c r="C1079" s="1">
        <v>0.68</v>
      </c>
      <c r="D1079" t="s">
        <v>29</v>
      </c>
    </row>
    <row r="1080" spans="1:4" x14ac:dyDescent="0.25">
      <c r="A1080" t="s">
        <v>96</v>
      </c>
      <c r="B1080" s="2">
        <v>45691</v>
      </c>
      <c r="C1080" s="1">
        <v>6.4</v>
      </c>
      <c r="D1080" t="s">
        <v>29</v>
      </c>
    </row>
    <row r="1081" spans="1:4" x14ac:dyDescent="0.25">
      <c r="A1081" t="s">
        <v>83</v>
      </c>
      <c r="B1081" s="2">
        <v>45692</v>
      </c>
      <c r="C1081" s="1">
        <v>6.4</v>
      </c>
      <c r="D1081" t="s">
        <v>29</v>
      </c>
    </row>
    <row r="1082" spans="1:4" x14ac:dyDescent="0.25">
      <c r="A1082" t="s">
        <v>94</v>
      </c>
      <c r="B1082" s="2">
        <v>45694</v>
      </c>
      <c r="C1082" s="1">
        <v>6.4</v>
      </c>
      <c r="D1082" t="s">
        <v>29</v>
      </c>
    </row>
    <row r="1083" spans="1:4" x14ac:dyDescent="0.25">
      <c r="A1083" t="s">
        <v>89</v>
      </c>
      <c r="B1083" s="2">
        <v>45698</v>
      </c>
      <c r="C1083" s="1">
        <v>6.4</v>
      </c>
      <c r="D1083" t="s">
        <v>29</v>
      </c>
    </row>
    <row r="1084" spans="1:4" x14ac:dyDescent="0.25">
      <c r="A1084" t="s">
        <v>66</v>
      </c>
      <c r="B1084" s="2">
        <v>45709</v>
      </c>
      <c r="C1084" s="1">
        <v>2.75</v>
      </c>
      <c r="D1084" t="s">
        <v>29</v>
      </c>
    </row>
    <row r="1085" spans="1:4" x14ac:dyDescent="0.25">
      <c r="A1085" t="s">
        <v>146</v>
      </c>
      <c r="B1085" s="2">
        <v>45702</v>
      </c>
      <c r="C1085" s="1">
        <v>0.42</v>
      </c>
      <c r="D1085" t="s">
        <v>29</v>
      </c>
    </row>
    <row r="1086" spans="1:4" x14ac:dyDescent="0.25">
      <c r="A1086" t="s">
        <v>111</v>
      </c>
      <c r="B1086" s="2">
        <v>45716</v>
      </c>
      <c r="C1086" s="1">
        <v>0.5</v>
      </c>
      <c r="D1086" t="s">
        <v>29</v>
      </c>
    </row>
    <row r="1087" spans="1:4" x14ac:dyDescent="0.25">
      <c r="A1087" t="s">
        <v>72</v>
      </c>
      <c r="B1087" s="2">
        <v>45691</v>
      </c>
      <c r="C1087" s="1">
        <v>6.32</v>
      </c>
      <c r="D1087" t="s">
        <v>29</v>
      </c>
    </row>
    <row r="1088" spans="1:4" x14ac:dyDescent="0.25">
      <c r="A1088" t="s">
        <v>129</v>
      </c>
      <c r="B1088" s="2">
        <v>45692</v>
      </c>
      <c r="C1088" s="1">
        <v>6.32</v>
      </c>
      <c r="D1088" t="s">
        <v>29</v>
      </c>
    </row>
    <row r="1089" spans="1:4" x14ac:dyDescent="0.25">
      <c r="A1089" t="s">
        <v>96</v>
      </c>
      <c r="B1089" s="2">
        <v>45709</v>
      </c>
      <c r="C1089" s="1">
        <v>0.53</v>
      </c>
      <c r="D1089" t="s">
        <v>29</v>
      </c>
    </row>
    <row r="1090" spans="1:4" x14ac:dyDescent="0.25">
      <c r="A1090" t="s">
        <v>149</v>
      </c>
      <c r="B1090" s="2">
        <v>45691</v>
      </c>
      <c r="C1090" s="1">
        <v>1.68</v>
      </c>
      <c r="D1090" t="s">
        <v>29</v>
      </c>
    </row>
    <row r="1091" spans="1:4" x14ac:dyDescent="0.25">
      <c r="A1091" t="s">
        <v>68</v>
      </c>
      <c r="B1091" s="2">
        <v>45715</v>
      </c>
      <c r="C1091" s="1">
        <v>1</v>
      </c>
      <c r="D1091" t="s">
        <v>29</v>
      </c>
    </row>
    <row r="1092" spans="1:4" x14ac:dyDescent="0.25">
      <c r="A1092" t="s">
        <v>78</v>
      </c>
      <c r="B1092" s="2">
        <v>45692</v>
      </c>
      <c r="C1092" s="1">
        <v>0.78</v>
      </c>
      <c r="D1092" t="s">
        <v>29</v>
      </c>
    </row>
    <row r="1093" spans="1:4" x14ac:dyDescent="0.25">
      <c r="A1093" t="s">
        <v>98</v>
      </c>
      <c r="B1093" s="2">
        <v>45694</v>
      </c>
      <c r="C1093" s="1">
        <v>0.98</v>
      </c>
      <c r="D1093" t="s">
        <v>29</v>
      </c>
    </row>
    <row r="1094" spans="1:4" x14ac:dyDescent="0.25">
      <c r="A1094" t="s">
        <v>140</v>
      </c>
      <c r="B1094" s="2">
        <v>45701</v>
      </c>
      <c r="C1094" s="1">
        <v>0.95</v>
      </c>
      <c r="D1094" t="s">
        <v>29</v>
      </c>
    </row>
    <row r="1095" spans="1:4" x14ac:dyDescent="0.25">
      <c r="A1095" t="s">
        <v>146</v>
      </c>
      <c r="B1095" s="2">
        <v>45691</v>
      </c>
      <c r="C1095" s="1">
        <v>7.6</v>
      </c>
      <c r="D1095" t="s">
        <v>29</v>
      </c>
    </row>
    <row r="1096" spans="1:4" x14ac:dyDescent="0.25">
      <c r="A1096" t="s">
        <v>140</v>
      </c>
      <c r="B1096" s="2">
        <v>45692</v>
      </c>
      <c r="C1096" s="1">
        <v>7.6</v>
      </c>
      <c r="D1096" t="s">
        <v>29</v>
      </c>
    </row>
    <row r="1097" spans="1:4" x14ac:dyDescent="0.25">
      <c r="A1097" t="s">
        <v>136</v>
      </c>
      <c r="B1097" s="2">
        <v>45694</v>
      </c>
      <c r="C1097" s="1">
        <v>7.6</v>
      </c>
      <c r="D1097" t="s">
        <v>29</v>
      </c>
    </row>
    <row r="1098" spans="1:4" x14ac:dyDescent="0.25">
      <c r="A1098" t="s">
        <v>127</v>
      </c>
      <c r="B1098" s="2">
        <v>45713</v>
      </c>
      <c r="C1098" s="1">
        <v>7.6</v>
      </c>
      <c r="D1098" t="s">
        <v>29</v>
      </c>
    </row>
    <row r="1099" spans="1:4" x14ac:dyDescent="0.25">
      <c r="A1099" t="s">
        <v>124</v>
      </c>
      <c r="B1099" s="2">
        <v>45714</v>
      </c>
      <c r="C1099" s="1">
        <v>7.6</v>
      </c>
      <c r="D1099" t="s">
        <v>29</v>
      </c>
    </row>
    <row r="1100" spans="1:4" x14ac:dyDescent="0.25">
      <c r="A1100" t="s">
        <v>80</v>
      </c>
      <c r="B1100" s="2">
        <v>45698</v>
      </c>
      <c r="C1100" s="1">
        <v>0.65</v>
      </c>
      <c r="D1100" t="s">
        <v>29</v>
      </c>
    </row>
    <row r="1101" spans="1:4" x14ac:dyDescent="0.25">
      <c r="A1101" t="s">
        <v>97</v>
      </c>
      <c r="B1101" s="2">
        <v>45694</v>
      </c>
      <c r="C1101" s="1">
        <v>7.2</v>
      </c>
      <c r="D1101" t="s">
        <v>29</v>
      </c>
    </row>
    <row r="1102" spans="1:4" x14ac:dyDescent="0.25">
      <c r="A1102" t="s">
        <v>104</v>
      </c>
      <c r="B1102" s="2">
        <v>45707</v>
      </c>
      <c r="C1102" s="1">
        <v>0.67</v>
      </c>
      <c r="D1102" t="s">
        <v>29</v>
      </c>
    </row>
    <row r="1103" spans="1:4" x14ac:dyDescent="0.25">
      <c r="A1103" t="s">
        <v>66</v>
      </c>
      <c r="B1103" s="2">
        <v>45716</v>
      </c>
      <c r="C1103" s="1">
        <v>0.45</v>
      </c>
      <c r="D1103" t="s">
        <v>29</v>
      </c>
    </row>
    <row r="1104" spans="1:4" x14ac:dyDescent="0.25">
      <c r="A1104" t="s">
        <v>89</v>
      </c>
      <c r="B1104" s="2">
        <v>45691</v>
      </c>
      <c r="C1104" s="1">
        <v>0.88</v>
      </c>
      <c r="D1104" t="s">
        <v>29</v>
      </c>
    </row>
    <row r="1105" spans="1:4" x14ac:dyDescent="0.25">
      <c r="A1105" t="s">
        <v>92</v>
      </c>
      <c r="B1105" s="2">
        <v>45707</v>
      </c>
      <c r="C1105" s="1">
        <v>1</v>
      </c>
      <c r="D1105" t="s">
        <v>29</v>
      </c>
    </row>
    <row r="1106" spans="1:4" x14ac:dyDescent="0.25">
      <c r="A1106" t="s">
        <v>82</v>
      </c>
      <c r="B1106" s="2">
        <v>45705</v>
      </c>
      <c r="C1106" s="1">
        <v>7.2</v>
      </c>
      <c r="D1106" t="s">
        <v>29</v>
      </c>
    </row>
    <row r="1107" spans="1:4" x14ac:dyDescent="0.25">
      <c r="A1107" t="s">
        <v>105</v>
      </c>
      <c r="B1107" s="2">
        <v>45706</v>
      </c>
      <c r="C1107" s="1">
        <v>7.2</v>
      </c>
      <c r="D1107" t="s">
        <v>29</v>
      </c>
    </row>
    <row r="1108" spans="1:4" x14ac:dyDescent="0.25">
      <c r="A1108" t="s">
        <v>101</v>
      </c>
      <c r="B1108" s="2">
        <v>45707</v>
      </c>
      <c r="C1108" s="1">
        <v>7.2</v>
      </c>
      <c r="D1108" t="s">
        <v>29</v>
      </c>
    </row>
    <row r="1109" spans="1:4" x14ac:dyDescent="0.25">
      <c r="A1109" t="s">
        <v>84</v>
      </c>
      <c r="B1109" s="2">
        <v>45708</v>
      </c>
      <c r="C1109" s="1">
        <v>7.2</v>
      </c>
      <c r="D1109" t="s">
        <v>29</v>
      </c>
    </row>
    <row r="1110" spans="1:4" x14ac:dyDescent="0.25">
      <c r="A1110" t="s">
        <v>132</v>
      </c>
      <c r="B1110" s="2">
        <v>45709</v>
      </c>
      <c r="C1110" s="1">
        <v>7.2</v>
      </c>
      <c r="D1110" t="s">
        <v>29</v>
      </c>
    </row>
    <row r="1111" spans="1:4" x14ac:dyDescent="0.25">
      <c r="A1111" t="s">
        <v>106</v>
      </c>
      <c r="B1111" s="2">
        <v>45716</v>
      </c>
      <c r="C1111" s="1">
        <v>7.2</v>
      </c>
      <c r="D1111" t="s">
        <v>29</v>
      </c>
    </row>
    <row r="1112" spans="1:4" x14ac:dyDescent="0.25">
      <c r="A1112" t="s">
        <v>65</v>
      </c>
      <c r="B1112" s="2">
        <v>45691</v>
      </c>
      <c r="C1112" s="1">
        <v>7.6</v>
      </c>
      <c r="D1112" t="s">
        <v>29</v>
      </c>
    </row>
    <row r="1113" spans="1:4" x14ac:dyDescent="0.25">
      <c r="A1113" t="s">
        <v>133</v>
      </c>
      <c r="B1113" s="2">
        <v>45692</v>
      </c>
      <c r="C1113" s="1">
        <v>7.6</v>
      </c>
      <c r="D1113" t="s">
        <v>29</v>
      </c>
    </row>
    <row r="1114" spans="1:4" x14ac:dyDescent="0.25">
      <c r="A1114" t="s">
        <v>144</v>
      </c>
      <c r="B1114" s="2">
        <v>45691</v>
      </c>
      <c r="C1114" s="1">
        <v>1.62</v>
      </c>
      <c r="D1114" t="s">
        <v>29</v>
      </c>
    </row>
    <row r="1115" spans="1:4" x14ac:dyDescent="0.25">
      <c r="A1115" t="s">
        <v>68</v>
      </c>
      <c r="B1115" s="2">
        <v>45699</v>
      </c>
      <c r="C1115" s="1">
        <v>7.2</v>
      </c>
      <c r="D1115" t="s">
        <v>29</v>
      </c>
    </row>
    <row r="1116" spans="1:4" x14ac:dyDescent="0.25">
      <c r="A1116" t="s">
        <v>96</v>
      </c>
      <c r="B1116" s="2">
        <v>45712</v>
      </c>
      <c r="C1116" s="1">
        <v>1.55</v>
      </c>
      <c r="D1116" t="s">
        <v>29</v>
      </c>
    </row>
    <row r="1117" spans="1:4" x14ac:dyDescent="0.25">
      <c r="A1117" t="s">
        <v>97</v>
      </c>
      <c r="B1117" s="2">
        <v>45694</v>
      </c>
      <c r="C1117" s="1">
        <v>6</v>
      </c>
      <c r="D1117" t="s">
        <v>29</v>
      </c>
    </row>
    <row r="1118" spans="1:4" x14ac:dyDescent="0.25">
      <c r="A1118" t="s">
        <v>130</v>
      </c>
      <c r="B1118" s="2">
        <v>45695</v>
      </c>
      <c r="C1118" s="1">
        <v>6</v>
      </c>
      <c r="D1118" t="s">
        <v>29</v>
      </c>
    </row>
    <row r="1119" spans="1:4" x14ac:dyDescent="0.25">
      <c r="A1119" t="s">
        <v>119</v>
      </c>
      <c r="B1119" s="2">
        <v>45716</v>
      </c>
      <c r="C1119" s="1">
        <v>2.27</v>
      </c>
      <c r="D1119" t="s">
        <v>29</v>
      </c>
    </row>
    <row r="1120" spans="1:4" x14ac:dyDescent="0.25">
      <c r="A1120" t="s">
        <v>99</v>
      </c>
      <c r="B1120" s="2">
        <v>45698</v>
      </c>
      <c r="C1120" s="1">
        <v>7.2</v>
      </c>
      <c r="D1120" t="s">
        <v>29</v>
      </c>
    </row>
    <row r="1121" spans="1:4" x14ac:dyDescent="0.25">
      <c r="A1121" t="s">
        <v>88</v>
      </c>
      <c r="B1121" s="2">
        <v>45707</v>
      </c>
      <c r="C1121" s="1">
        <v>7.2</v>
      </c>
      <c r="D1121" t="s">
        <v>29</v>
      </c>
    </row>
    <row r="1122" spans="1:4" x14ac:dyDescent="0.25">
      <c r="A1122" t="s">
        <v>105</v>
      </c>
      <c r="B1122" s="2">
        <v>45708</v>
      </c>
      <c r="C1122" s="1">
        <v>7.2</v>
      </c>
      <c r="D1122" t="s">
        <v>29</v>
      </c>
    </row>
    <row r="1123" spans="1:4" x14ac:dyDescent="0.25">
      <c r="A1123" t="s">
        <v>119</v>
      </c>
      <c r="B1123" s="2">
        <v>45709</v>
      </c>
      <c r="C1123" s="1">
        <v>7.2</v>
      </c>
      <c r="D1123" t="s">
        <v>29</v>
      </c>
    </row>
    <row r="1124" spans="1:4" x14ac:dyDescent="0.25">
      <c r="A1124" t="s">
        <v>83</v>
      </c>
      <c r="B1124" s="2">
        <v>45712</v>
      </c>
      <c r="C1124" s="1">
        <v>7.2</v>
      </c>
      <c r="D1124" t="s">
        <v>29</v>
      </c>
    </row>
    <row r="1125" spans="1:4" x14ac:dyDescent="0.25">
      <c r="A1125" t="s">
        <v>93</v>
      </c>
      <c r="B1125" s="2">
        <v>45714</v>
      </c>
      <c r="C1125" s="1">
        <v>0.95</v>
      </c>
      <c r="D1125" t="s">
        <v>29</v>
      </c>
    </row>
    <row r="1126" spans="1:4" x14ac:dyDescent="0.25">
      <c r="A1126" t="s">
        <v>68</v>
      </c>
      <c r="B1126" s="2">
        <v>45702</v>
      </c>
      <c r="C1126" s="1">
        <v>7.2</v>
      </c>
      <c r="D1126" t="s">
        <v>29</v>
      </c>
    </row>
    <row r="1127" spans="1:4" x14ac:dyDescent="0.25">
      <c r="A1127" t="s">
        <v>133</v>
      </c>
      <c r="B1127" s="2">
        <v>45707</v>
      </c>
      <c r="C1127" s="1">
        <v>0.35</v>
      </c>
      <c r="D1127" t="s">
        <v>29</v>
      </c>
    </row>
    <row r="1128" spans="1:4" x14ac:dyDescent="0.25">
      <c r="A1128" t="s">
        <v>148</v>
      </c>
      <c r="B1128" s="2">
        <v>45691</v>
      </c>
      <c r="C1128" s="1">
        <v>6</v>
      </c>
      <c r="D1128" t="s">
        <v>29</v>
      </c>
    </row>
    <row r="1129" spans="1:4" x14ac:dyDescent="0.25">
      <c r="A1129" t="s">
        <v>93</v>
      </c>
      <c r="B1129" s="2">
        <v>45692</v>
      </c>
      <c r="C1129" s="1">
        <v>6</v>
      </c>
      <c r="D1129" t="s">
        <v>29</v>
      </c>
    </row>
    <row r="1130" spans="1:4" x14ac:dyDescent="0.25">
      <c r="A1130" t="s">
        <v>68</v>
      </c>
      <c r="B1130" s="2">
        <v>45694</v>
      </c>
      <c r="C1130" s="1">
        <v>6</v>
      </c>
      <c r="D1130" t="s">
        <v>29</v>
      </c>
    </row>
    <row r="1131" spans="1:4" x14ac:dyDescent="0.25">
      <c r="A1131" t="s">
        <v>68</v>
      </c>
      <c r="B1131" s="2">
        <v>45695</v>
      </c>
      <c r="C1131" s="1">
        <v>6</v>
      </c>
      <c r="D1131" t="s">
        <v>29</v>
      </c>
    </row>
    <row r="1132" spans="1:4" x14ac:dyDescent="0.25">
      <c r="A1132" t="s">
        <v>73</v>
      </c>
      <c r="B1132" s="2">
        <v>45696</v>
      </c>
      <c r="C1132" s="1">
        <v>6</v>
      </c>
      <c r="D1132" t="s">
        <v>29</v>
      </c>
    </row>
    <row r="1133" spans="1:4" x14ac:dyDescent="0.25">
      <c r="A1133" t="s">
        <v>130</v>
      </c>
      <c r="B1133" s="2">
        <v>45698</v>
      </c>
      <c r="C1133" s="1">
        <v>6</v>
      </c>
      <c r="D1133" t="s">
        <v>29</v>
      </c>
    </row>
    <row r="1134" spans="1:4" x14ac:dyDescent="0.25">
      <c r="A1134" t="s">
        <v>117</v>
      </c>
      <c r="B1134" s="2">
        <v>45692</v>
      </c>
      <c r="C1134" s="1">
        <v>0.48</v>
      </c>
      <c r="D1134" t="s">
        <v>29</v>
      </c>
    </row>
    <row r="1135" spans="1:4" x14ac:dyDescent="0.25">
      <c r="A1135" t="s">
        <v>93</v>
      </c>
      <c r="B1135" s="2">
        <v>45692</v>
      </c>
      <c r="C1135" s="1">
        <v>7.2</v>
      </c>
      <c r="D1135" t="s">
        <v>29</v>
      </c>
    </row>
    <row r="1136" spans="1:4" x14ac:dyDescent="0.25">
      <c r="A1136" t="s">
        <v>105</v>
      </c>
      <c r="B1136" s="2">
        <v>45709</v>
      </c>
      <c r="C1136" s="1">
        <v>7.2</v>
      </c>
      <c r="D1136" t="s">
        <v>29</v>
      </c>
    </row>
    <row r="1137" spans="1:4" x14ac:dyDescent="0.25">
      <c r="A1137" t="s">
        <v>77</v>
      </c>
      <c r="B1137" s="2">
        <v>45712</v>
      </c>
      <c r="C1137" s="1">
        <v>7.2</v>
      </c>
      <c r="D1137" t="s">
        <v>29</v>
      </c>
    </row>
    <row r="1138" spans="1:4" x14ac:dyDescent="0.25">
      <c r="A1138" t="s">
        <v>71</v>
      </c>
      <c r="B1138" s="2">
        <v>45695</v>
      </c>
      <c r="C1138" s="1">
        <v>1.02</v>
      </c>
      <c r="D1138" t="s">
        <v>29</v>
      </c>
    </row>
    <row r="1139" spans="1:4" x14ac:dyDescent="0.25">
      <c r="A1139" t="s">
        <v>115</v>
      </c>
      <c r="B1139" s="2">
        <v>45702</v>
      </c>
      <c r="C1139" s="1">
        <v>1.1000000000000001</v>
      </c>
      <c r="D1139" t="s">
        <v>29</v>
      </c>
    </row>
    <row r="1140" spans="1:4" x14ac:dyDescent="0.25">
      <c r="A1140" t="s">
        <v>100</v>
      </c>
      <c r="B1140" s="2">
        <v>45709</v>
      </c>
      <c r="C1140" s="1">
        <v>1.1000000000000001</v>
      </c>
      <c r="D1140" t="s">
        <v>29</v>
      </c>
    </row>
    <row r="1141" spans="1:4" x14ac:dyDescent="0.25">
      <c r="A1141" t="s">
        <v>122</v>
      </c>
      <c r="B1141" s="2">
        <v>45714</v>
      </c>
      <c r="C1141" s="1">
        <v>7.6</v>
      </c>
      <c r="D1141" t="s">
        <v>29</v>
      </c>
    </row>
    <row r="1142" spans="1:4" x14ac:dyDescent="0.25">
      <c r="A1142" t="s">
        <v>144</v>
      </c>
      <c r="B1142" s="2">
        <v>45716</v>
      </c>
      <c r="C1142" s="1">
        <v>1.1000000000000001</v>
      </c>
      <c r="D1142" t="s">
        <v>29</v>
      </c>
    </row>
    <row r="1143" spans="1:4" x14ac:dyDescent="0.25">
      <c r="A1143" t="s">
        <v>72</v>
      </c>
      <c r="B1143" s="2">
        <v>45698</v>
      </c>
      <c r="C1143" s="1">
        <v>7.2</v>
      </c>
      <c r="D1143" t="s">
        <v>29</v>
      </c>
    </row>
    <row r="1144" spans="1:4" x14ac:dyDescent="0.25">
      <c r="A1144" t="s">
        <v>121</v>
      </c>
      <c r="B1144" s="2">
        <v>45699</v>
      </c>
      <c r="C1144" s="1">
        <v>0.52</v>
      </c>
      <c r="D1144" t="s">
        <v>29</v>
      </c>
    </row>
    <row r="1145" spans="1:4" x14ac:dyDescent="0.25">
      <c r="A1145" t="s">
        <v>67</v>
      </c>
      <c r="B1145" s="2">
        <v>45706</v>
      </c>
      <c r="C1145" s="1">
        <v>0.55000000000000004</v>
      </c>
      <c r="D1145" t="s">
        <v>29</v>
      </c>
    </row>
    <row r="1146" spans="1:4" x14ac:dyDescent="0.25">
      <c r="A1146" t="s">
        <v>113</v>
      </c>
      <c r="B1146" s="2">
        <v>45713</v>
      </c>
      <c r="C1146" s="1">
        <v>0.55000000000000004</v>
      </c>
      <c r="D1146" t="s">
        <v>29</v>
      </c>
    </row>
    <row r="1147" spans="1:4" x14ac:dyDescent="0.25">
      <c r="A1147" t="s">
        <v>117</v>
      </c>
      <c r="B1147" s="2">
        <v>45702</v>
      </c>
      <c r="C1147" s="1">
        <v>7.2</v>
      </c>
      <c r="D1147" t="s">
        <v>29</v>
      </c>
    </row>
    <row r="1148" spans="1:4" x14ac:dyDescent="0.25">
      <c r="A1148" t="s">
        <v>82</v>
      </c>
      <c r="B1148" s="2">
        <v>45712</v>
      </c>
      <c r="C1148" s="1">
        <v>0.75</v>
      </c>
      <c r="D1148" t="s">
        <v>29</v>
      </c>
    </row>
    <row r="1149" spans="1:4" x14ac:dyDescent="0.25">
      <c r="A1149" t="s">
        <v>65</v>
      </c>
      <c r="B1149" s="2">
        <v>45692</v>
      </c>
      <c r="C1149" s="1">
        <v>0.23</v>
      </c>
      <c r="D1149" t="s">
        <v>29</v>
      </c>
    </row>
    <row r="1150" spans="1:4" x14ac:dyDescent="0.25">
      <c r="A1150" t="s">
        <v>142</v>
      </c>
      <c r="B1150" s="2">
        <v>45700</v>
      </c>
      <c r="C1150" s="1">
        <v>0.27</v>
      </c>
      <c r="D1150" t="s">
        <v>29</v>
      </c>
    </row>
    <row r="1151" spans="1:4" x14ac:dyDescent="0.25">
      <c r="A1151" t="s">
        <v>99</v>
      </c>
      <c r="B1151" s="2">
        <v>45701</v>
      </c>
      <c r="C1151" s="1">
        <v>0.23</v>
      </c>
      <c r="D1151" t="s">
        <v>29</v>
      </c>
    </row>
    <row r="1152" spans="1:4" x14ac:dyDescent="0.25">
      <c r="A1152" t="s">
        <v>81</v>
      </c>
      <c r="B1152" s="2">
        <v>45714</v>
      </c>
      <c r="C1152" s="1">
        <v>0.27</v>
      </c>
      <c r="D1152" t="s">
        <v>29</v>
      </c>
    </row>
    <row r="1153" spans="1:4" x14ac:dyDescent="0.25">
      <c r="A1153" t="s">
        <v>70</v>
      </c>
      <c r="B1153" s="2">
        <v>45715</v>
      </c>
      <c r="C1153" s="1">
        <v>0.22</v>
      </c>
      <c r="D1153" t="s">
        <v>29</v>
      </c>
    </row>
    <row r="1154" spans="1:4" x14ac:dyDescent="0.25">
      <c r="A1154" t="s">
        <v>98</v>
      </c>
      <c r="B1154" s="2">
        <v>45716</v>
      </c>
      <c r="C1154" s="1">
        <v>0.23</v>
      </c>
      <c r="D1154" t="s">
        <v>29</v>
      </c>
    </row>
    <row r="1155" spans="1:4" x14ac:dyDescent="0.25">
      <c r="A1155" t="s">
        <v>135</v>
      </c>
      <c r="B1155" s="2">
        <v>45715</v>
      </c>
      <c r="C1155" s="1">
        <v>1.95</v>
      </c>
      <c r="D1155" t="s">
        <v>29</v>
      </c>
    </row>
    <row r="1156" spans="1:4" x14ac:dyDescent="0.25">
      <c r="A1156" t="s">
        <v>74</v>
      </c>
      <c r="B1156" s="2">
        <v>45715</v>
      </c>
      <c r="C1156" s="1">
        <v>1.72</v>
      </c>
      <c r="D1156" t="s">
        <v>29</v>
      </c>
    </row>
    <row r="1157" spans="1:4" x14ac:dyDescent="0.25">
      <c r="A1157" t="s">
        <v>66</v>
      </c>
      <c r="B1157" s="2">
        <v>45691</v>
      </c>
      <c r="C1157" s="1">
        <v>6</v>
      </c>
      <c r="D1157" t="s">
        <v>29</v>
      </c>
    </row>
    <row r="1158" spans="1:4" x14ac:dyDescent="0.25">
      <c r="A1158" t="s">
        <v>122</v>
      </c>
      <c r="B1158" s="2">
        <v>45692</v>
      </c>
      <c r="C1158" s="1">
        <v>6</v>
      </c>
      <c r="D1158" t="s">
        <v>29</v>
      </c>
    </row>
    <row r="1159" spans="1:4" x14ac:dyDescent="0.25">
      <c r="A1159" t="s">
        <v>71</v>
      </c>
      <c r="B1159" s="2">
        <v>45694</v>
      </c>
      <c r="C1159" s="1">
        <v>5</v>
      </c>
      <c r="D1159" t="s">
        <v>29</v>
      </c>
    </row>
    <row r="1160" spans="1:4" x14ac:dyDescent="0.25">
      <c r="A1160" t="s">
        <v>123</v>
      </c>
      <c r="B1160" s="2">
        <v>45695</v>
      </c>
      <c r="C1160" s="1">
        <v>6</v>
      </c>
      <c r="D1160" t="s">
        <v>29</v>
      </c>
    </row>
    <row r="1161" spans="1:4" x14ac:dyDescent="0.25">
      <c r="A1161" t="s">
        <v>83</v>
      </c>
      <c r="B1161" s="2">
        <v>45692</v>
      </c>
      <c r="C1161" s="1">
        <v>7.2</v>
      </c>
      <c r="D1161" t="s">
        <v>29</v>
      </c>
    </row>
    <row r="1162" spans="1:4" x14ac:dyDescent="0.25">
      <c r="A1162" t="s">
        <v>118</v>
      </c>
      <c r="B1162" s="2">
        <v>45694</v>
      </c>
      <c r="C1162" s="1">
        <v>7.2</v>
      </c>
      <c r="D1162" t="s">
        <v>29</v>
      </c>
    </row>
    <row r="1163" spans="1:4" x14ac:dyDescent="0.25">
      <c r="A1163" t="s">
        <v>65</v>
      </c>
      <c r="B1163" s="2">
        <v>45691</v>
      </c>
      <c r="C1163" s="1">
        <v>7.2</v>
      </c>
      <c r="D1163" t="s">
        <v>29</v>
      </c>
    </row>
    <row r="1164" spans="1:4" x14ac:dyDescent="0.25">
      <c r="A1164" t="s">
        <v>93</v>
      </c>
      <c r="B1164" s="2">
        <v>45695</v>
      </c>
      <c r="C1164" s="1">
        <v>0.48</v>
      </c>
      <c r="D1164" t="s">
        <v>29</v>
      </c>
    </row>
    <row r="1165" spans="1:4" x14ac:dyDescent="0.25">
      <c r="A1165" t="s">
        <v>125</v>
      </c>
      <c r="B1165" s="2">
        <v>45701</v>
      </c>
      <c r="C1165" s="1">
        <v>7.2</v>
      </c>
      <c r="D1165" t="s">
        <v>29</v>
      </c>
    </row>
    <row r="1166" spans="1:4" x14ac:dyDescent="0.25">
      <c r="A1166" t="s">
        <v>129</v>
      </c>
      <c r="B1166" s="2">
        <v>45705</v>
      </c>
      <c r="C1166" s="1">
        <v>0.47</v>
      </c>
      <c r="D1166" t="s">
        <v>29</v>
      </c>
    </row>
    <row r="1167" spans="1:4" x14ac:dyDescent="0.25">
      <c r="A1167" t="s">
        <v>74</v>
      </c>
      <c r="B1167" s="2">
        <v>45706</v>
      </c>
      <c r="C1167" s="1">
        <v>7.2</v>
      </c>
      <c r="D1167" t="s">
        <v>29</v>
      </c>
    </row>
    <row r="1168" spans="1:4" x14ac:dyDescent="0.25">
      <c r="A1168" t="s">
        <v>87</v>
      </c>
      <c r="B1168" s="2">
        <v>45707</v>
      </c>
      <c r="C1168" s="1">
        <v>7.2</v>
      </c>
      <c r="D1168" t="s">
        <v>29</v>
      </c>
    </row>
    <row r="1169" spans="1:4" x14ac:dyDescent="0.25">
      <c r="A1169" t="s">
        <v>77</v>
      </c>
      <c r="B1169" s="2">
        <v>45712</v>
      </c>
      <c r="C1169" s="1">
        <v>7.2</v>
      </c>
      <c r="D1169" t="s">
        <v>29</v>
      </c>
    </row>
    <row r="1170" spans="1:4" x14ac:dyDescent="0.25">
      <c r="A1170" t="s">
        <v>111</v>
      </c>
      <c r="B1170" s="2">
        <v>45713</v>
      </c>
      <c r="C1170" s="1">
        <v>7.2</v>
      </c>
      <c r="D1170" t="s">
        <v>29</v>
      </c>
    </row>
    <row r="1171" spans="1:4" x14ac:dyDescent="0.25">
      <c r="A1171" t="s">
        <v>141</v>
      </c>
      <c r="B1171" s="2">
        <v>45714</v>
      </c>
      <c r="C1171" s="1">
        <v>7.2</v>
      </c>
      <c r="D1171" t="s">
        <v>29</v>
      </c>
    </row>
    <row r="1172" spans="1:4" x14ac:dyDescent="0.25">
      <c r="A1172" t="s">
        <v>100</v>
      </c>
      <c r="B1172" s="2">
        <v>45715</v>
      </c>
      <c r="C1172" s="1">
        <v>7.2</v>
      </c>
      <c r="D1172" t="s">
        <v>29</v>
      </c>
    </row>
    <row r="1173" spans="1:4" x14ac:dyDescent="0.25">
      <c r="A1173" t="s">
        <v>97</v>
      </c>
      <c r="B1173" s="2">
        <v>45716</v>
      </c>
      <c r="C1173" s="1">
        <v>7.2</v>
      </c>
      <c r="D1173" t="s">
        <v>29</v>
      </c>
    </row>
    <row r="1174" spans="1:4" x14ac:dyDescent="0.25">
      <c r="A1174" t="s">
        <v>131</v>
      </c>
      <c r="B1174" s="2">
        <v>45692</v>
      </c>
      <c r="C1174" s="1">
        <v>7.2</v>
      </c>
      <c r="D1174" t="s">
        <v>29</v>
      </c>
    </row>
    <row r="1175" spans="1:4" x14ac:dyDescent="0.25">
      <c r="A1175" t="s">
        <v>134</v>
      </c>
      <c r="B1175" s="2">
        <v>45707</v>
      </c>
      <c r="C1175" s="1">
        <v>1.5</v>
      </c>
      <c r="D1175" t="s">
        <v>29</v>
      </c>
    </row>
    <row r="1176" spans="1:4" x14ac:dyDescent="0.25">
      <c r="A1176" t="s">
        <v>72</v>
      </c>
      <c r="B1176" s="2">
        <v>45691</v>
      </c>
      <c r="C1176" s="1">
        <v>6</v>
      </c>
      <c r="D1176" t="s">
        <v>29</v>
      </c>
    </row>
    <row r="1177" spans="1:4" x14ac:dyDescent="0.25">
      <c r="A1177" t="s">
        <v>82</v>
      </c>
      <c r="B1177" s="2">
        <v>45702</v>
      </c>
      <c r="C1177" s="1">
        <v>2.27</v>
      </c>
      <c r="D1177" t="s">
        <v>29</v>
      </c>
    </row>
    <row r="1178" spans="1:4" x14ac:dyDescent="0.25">
      <c r="A1178" t="s">
        <v>75</v>
      </c>
      <c r="B1178" s="2">
        <v>45706</v>
      </c>
      <c r="C1178" s="1">
        <v>2.38</v>
      </c>
      <c r="D1178" t="s">
        <v>29</v>
      </c>
    </row>
    <row r="1179" spans="1:4" x14ac:dyDescent="0.25">
      <c r="A1179" t="s">
        <v>65</v>
      </c>
      <c r="B1179" s="2">
        <v>45707</v>
      </c>
      <c r="C1179" s="1">
        <v>1.97</v>
      </c>
      <c r="D1179" t="s">
        <v>29</v>
      </c>
    </row>
    <row r="1180" spans="1:4" x14ac:dyDescent="0.25">
      <c r="A1180" t="s">
        <v>124</v>
      </c>
      <c r="B1180" s="2">
        <v>45708</v>
      </c>
      <c r="C1180" s="1">
        <v>0.95</v>
      </c>
      <c r="D1180" t="s">
        <v>29</v>
      </c>
    </row>
    <row r="1181" spans="1:4" x14ac:dyDescent="0.25">
      <c r="A1181" t="s">
        <v>76</v>
      </c>
      <c r="B1181" s="2">
        <v>45712</v>
      </c>
      <c r="C1181" s="1">
        <v>2.73</v>
      </c>
      <c r="D1181" t="s">
        <v>29</v>
      </c>
    </row>
    <row r="1182" spans="1:4" x14ac:dyDescent="0.25">
      <c r="A1182" t="s">
        <v>126</v>
      </c>
      <c r="B1182" s="2">
        <v>45705</v>
      </c>
      <c r="C1182" s="1">
        <v>7.2</v>
      </c>
      <c r="D1182" t="s">
        <v>29</v>
      </c>
    </row>
    <row r="1183" spans="1:4" x14ac:dyDescent="0.25">
      <c r="A1183" t="s">
        <v>123</v>
      </c>
      <c r="B1183" s="2">
        <v>45706</v>
      </c>
      <c r="C1183" s="1">
        <v>7.2</v>
      </c>
      <c r="D1183" t="s">
        <v>29</v>
      </c>
    </row>
    <row r="1184" spans="1:4" x14ac:dyDescent="0.25">
      <c r="A1184" t="s">
        <v>132</v>
      </c>
      <c r="B1184" s="2">
        <v>45709</v>
      </c>
      <c r="C1184" s="1">
        <v>7.2</v>
      </c>
      <c r="D1184" t="s">
        <v>29</v>
      </c>
    </row>
    <row r="1185" spans="1:4" x14ac:dyDescent="0.25">
      <c r="A1185" t="s">
        <v>134</v>
      </c>
      <c r="B1185" s="2">
        <v>45712</v>
      </c>
      <c r="C1185" s="1">
        <v>7.2</v>
      </c>
      <c r="D1185" t="s">
        <v>29</v>
      </c>
    </row>
    <row r="1186" spans="1:4" x14ac:dyDescent="0.25">
      <c r="A1186" t="s">
        <v>128</v>
      </c>
      <c r="B1186" s="2">
        <v>45713</v>
      </c>
      <c r="C1186" s="1">
        <v>7.2</v>
      </c>
      <c r="D1186" t="s">
        <v>29</v>
      </c>
    </row>
    <row r="1187" spans="1:4" x14ac:dyDescent="0.25">
      <c r="A1187" t="s">
        <v>142</v>
      </c>
      <c r="B1187" s="2">
        <v>45714</v>
      </c>
      <c r="C1187" s="1">
        <v>7.2</v>
      </c>
      <c r="D1187" t="s">
        <v>29</v>
      </c>
    </row>
    <row r="1188" spans="1:4" x14ac:dyDescent="0.25">
      <c r="A1188" t="s">
        <v>92</v>
      </c>
      <c r="B1188" s="2">
        <v>45715</v>
      </c>
      <c r="C1188" s="1">
        <v>7.2</v>
      </c>
      <c r="D1188" t="s">
        <v>29</v>
      </c>
    </row>
    <row r="1189" spans="1:4" x14ac:dyDescent="0.25">
      <c r="A1189" t="s">
        <v>96</v>
      </c>
      <c r="B1189" s="2">
        <v>45716</v>
      </c>
      <c r="C1189" s="1">
        <v>7.2</v>
      </c>
      <c r="D1189" t="s">
        <v>29</v>
      </c>
    </row>
    <row r="1190" spans="1:4" x14ac:dyDescent="0.25">
      <c r="A1190" t="s">
        <v>126</v>
      </c>
      <c r="B1190" s="2">
        <v>45691</v>
      </c>
      <c r="C1190" s="1">
        <v>4.25</v>
      </c>
      <c r="D1190" t="s">
        <v>29</v>
      </c>
    </row>
    <row r="1191" spans="1:4" x14ac:dyDescent="0.25">
      <c r="A1191" t="s">
        <v>121</v>
      </c>
      <c r="B1191" s="2">
        <v>45692</v>
      </c>
      <c r="C1191" s="1">
        <v>7.2</v>
      </c>
      <c r="D1191" t="s">
        <v>29</v>
      </c>
    </row>
    <row r="1192" spans="1:4" x14ac:dyDescent="0.25">
      <c r="A1192" t="s">
        <v>124</v>
      </c>
      <c r="B1192" s="2">
        <v>45705</v>
      </c>
      <c r="C1192" s="1">
        <v>7.2</v>
      </c>
      <c r="D1192" t="s">
        <v>29</v>
      </c>
    </row>
    <row r="1193" spans="1:4" x14ac:dyDescent="0.25">
      <c r="A1193" t="s">
        <v>76</v>
      </c>
      <c r="B1193" s="2">
        <v>45709</v>
      </c>
      <c r="C1193" s="1">
        <v>7.6</v>
      </c>
      <c r="D1193" t="s">
        <v>29</v>
      </c>
    </row>
    <row r="1194" spans="1:4" x14ac:dyDescent="0.25">
      <c r="A1194" t="s">
        <v>129</v>
      </c>
      <c r="B1194" s="2">
        <v>45698</v>
      </c>
      <c r="C1194" s="1">
        <v>6</v>
      </c>
      <c r="D1194" t="s">
        <v>29</v>
      </c>
    </row>
    <row r="1195" spans="1:4" x14ac:dyDescent="0.25">
      <c r="A1195" t="s">
        <v>99</v>
      </c>
      <c r="B1195" s="2">
        <v>45707</v>
      </c>
      <c r="C1195" s="1">
        <v>2.92</v>
      </c>
      <c r="D1195" t="s">
        <v>29</v>
      </c>
    </row>
    <row r="1196" spans="1:4" x14ac:dyDescent="0.25">
      <c r="A1196" t="s">
        <v>82</v>
      </c>
      <c r="B1196" s="2">
        <v>45716</v>
      </c>
      <c r="C1196" s="1">
        <v>1</v>
      </c>
      <c r="D1196" t="s">
        <v>29</v>
      </c>
    </row>
    <row r="1197" spans="1:4" x14ac:dyDescent="0.25">
      <c r="A1197" t="s">
        <v>124</v>
      </c>
      <c r="B1197" s="2">
        <v>45696</v>
      </c>
      <c r="C1197" s="1">
        <v>6</v>
      </c>
      <c r="D1197" t="s">
        <v>29</v>
      </c>
    </row>
    <row r="1198" spans="1:4" x14ac:dyDescent="0.25">
      <c r="A1198" t="s">
        <v>84</v>
      </c>
      <c r="B1198" s="2">
        <v>45714</v>
      </c>
      <c r="C1198" s="1">
        <v>6</v>
      </c>
      <c r="D1198" t="s">
        <v>29</v>
      </c>
    </row>
    <row r="1199" spans="1:4" x14ac:dyDescent="0.25">
      <c r="A1199" t="s">
        <v>101</v>
      </c>
      <c r="B1199" s="2">
        <v>45715</v>
      </c>
      <c r="C1199" s="1">
        <v>6</v>
      </c>
      <c r="D1199" t="s">
        <v>29</v>
      </c>
    </row>
    <row r="1200" spans="1:4" x14ac:dyDescent="0.25">
      <c r="A1200" t="s">
        <v>141</v>
      </c>
      <c r="B1200" s="2">
        <v>45716</v>
      </c>
      <c r="C1200" s="1">
        <v>6</v>
      </c>
      <c r="D1200" t="s">
        <v>29</v>
      </c>
    </row>
    <row r="1201" spans="1:4" x14ac:dyDescent="0.25">
      <c r="A1201" t="s">
        <v>93</v>
      </c>
      <c r="B1201" s="2">
        <v>45692</v>
      </c>
      <c r="C1201" s="1">
        <v>6</v>
      </c>
      <c r="D1201" t="s">
        <v>29</v>
      </c>
    </row>
    <row r="1202" spans="1:4" x14ac:dyDescent="0.25">
      <c r="A1202" t="s">
        <v>76</v>
      </c>
      <c r="B1202" s="2">
        <v>45705</v>
      </c>
      <c r="C1202" s="1">
        <v>6</v>
      </c>
      <c r="D1202" t="s">
        <v>29</v>
      </c>
    </row>
    <row r="1203" spans="1:4" x14ac:dyDescent="0.25">
      <c r="A1203" t="s">
        <v>69</v>
      </c>
      <c r="B1203" s="2">
        <v>45705</v>
      </c>
      <c r="C1203" s="1">
        <v>6</v>
      </c>
      <c r="D1203" t="s">
        <v>29</v>
      </c>
    </row>
    <row r="1204" spans="1:4" x14ac:dyDescent="0.25">
      <c r="A1204" t="s">
        <v>128</v>
      </c>
      <c r="B1204" s="2">
        <v>45706</v>
      </c>
      <c r="C1204" s="1">
        <v>6</v>
      </c>
      <c r="D1204" t="s">
        <v>29</v>
      </c>
    </row>
    <row r="1205" spans="1:4" x14ac:dyDescent="0.25">
      <c r="A1205" t="s">
        <v>144</v>
      </c>
      <c r="B1205" s="2">
        <v>45707</v>
      </c>
      <c r="C1205" s="1">
        <v>6</v>
      </c>
      <c r="D1205" t="s">
        <v>29</v>
      </c>
    </row>
    <row r="1206" spans="1:4" x14ac:dyDescent="0.25">
      <c r="A1206" t="s">
        <v>95</v>
      </c>
      <c r="B1206" s="2">
        <v>45694</v>
      </c>
      <c r="C1206" s="1">
        <v>7.2</v>
      </c>
      <c r="D1206" t="s">
        <v>29</v>
      </c>
    </row>
    <row r="1207" spans="1:4" x14ac:dyDescent="0.25">
      <c r="A1207" t="s">
        <v>126</v>
      </c>
      <c r="B1207" s="2">
        <v>45695</v>
      </c>
      <c r="C1207" s="1">
        <v>7.2</v>
      </c>
      <c r="D1207" t="s">
        <v>29</v>
      </c>
    </row>
    <row r="1208" spans="1:4" x14ac:dyDescent="0.25">
      <c r="A1208" t="s">
        <v>92</v>
      </c>
      <c r="B1208" s="2">
        <v>45705</v>
      </c>
      <c r="C1208" s="1">
        <v>7.2</v>
      </c>
      <c r="D1208" t="s">
        <v>29</v>
      </c>
    </row>
    <row r="1209" spans="1:4" x14ac:dyDescent="0.25">
      <c r="A1209" t="s">
        <v>142</v>
      </c>
      <c r="B1209" s="2">
        <v>45715</v>
      </c>
      <c r="C1209" s="1">
        <v>1.07</v>
      </c>
      <c r="D1209" t="s">
        <v>29</v>
      </c>
    </row>
    <row r="1210" spans="1:4" x14ac:dyDescent="0.25">
      <c r="A1210" t="s">
        <v>127</v>
      </c>
      <c r="B1210" s="2">
        <v>45709</v>
      </c>
      <c r="C1210" s="1">
        <v>7.6</v>
      </c>
      <c r="D1210" t="s">
        <v>29</v>
      </c>
    </row>
    <row r="1211" spans="1:4" x14ac:dyDescent="0.25">
      <c r="A1211" t="s">
        <v>145</v>
      </c>
      <c r="B1211" s="2">
        <v>45694</v>
      </c>
      <c r="C1211" s="1">
        <v>1</v>
      </c>
      <c r="D1211" t="s">
        <v>29</v>
      </c>
    </row>
    <row r="1212" spans="1:4" x14ac:dyDescent="0.25">
      <c r="A1212" t="s">
        <v>113</v>
      </c>
      <c r="B1212" s="2">
        <v>45706</v>
      </c>
      <c r="C1212" s="1">
        <v>0.97</v>
      </c>
      <c r="D1212" t="s">
        <v>29</v>
      </c>
    </row>
    <row r="1213" spans="1:4" x14ac:dyDescent="0.25">
      <c r="A1213" t="s">
        <v>99</v>
      </c>
      <c r="B1213" s="2">
        <v>45695</v>
      </c>
      <c r="C1213" s="1">
        <v>7.2</v>
      </c>
      <c r="D1213" t="s">
        <v>29</v>
      </c>
    </row>
    <row r="1214" spans="1:4" x14ac:dyDescent="0.25">
      <c r="A1214" t="s">
        <v>99</v>
      </c>
      <c r="B1214" s="2">
        <v>45708</v>
      </c>
      <c r="C1214" s="1">
        <v>0.65</v>
      </c>
      <c r="D1214" t="s">
        <v>29</v>
      </c>
    </row>
    <row r="1215" spans="1:4" x14ac:dyDescent="0.25">
      <c r="A1215" t="s">
        <v>102</v>
      </c>
      <c r="B1215" s="2">
        <v>45696</v>
      </c>
      <c r="C1215" s="1">
        <v>6</v>
      </c>
      <c r="D1215" t="s">
        <v>29</v>
      </c>
    </row>
    <row r="1216" spans="1:4" x14ac:dyDescent="0.25">
      <c r="A1216" t="s">
        <v>109</v>
      </c>
      <c r="B1216" s="2">
        <v>45714</v>
      </c>
      <c r="C1216" s="1">
        <v>4.18</v>
      </c>
      <c r="D1216" t="s">
        <v>29</v>
      </c>
    </row>
    <row r="1217" spans="1:4" x14ac:dyDescent="0.25">
      <c r="A1217" t="s">
        <v>100</v>
      </c>
      <c r="B1217" s="2">
        <v>45713</v>
      </c>
      <c r="C1217" s="1">
        <v>0.38</v>
      </c>
      <c r="D1217" t="s">
        <v>29</v>
      </c>
    </row>
    <row r="1218" spans="1:4" x14ac:dyDescent="0.25">
      <c r="A1218" t="s">
        <v>135</v>
      </c>
      <c r="B1218" s="2">
        <v>45696</v>
      </c>
      <c r="C1218" s="1">
        <v>0.37</v>
      </c>
      <c r="D1218" t="s">
        <v>29</v>
      </c>
    </row>
    <row r="1219" spans="1:4" x14ac:dyDescent="0.25">
      <c r="A1219" t="s">
        <v>88</v>
      </c>
      <c r="B1219" s="2">
        <v>45703</v>
      </c>
      <c r="C1219" s="1">
        <v>0.45</v>
      </c>
      <c r="D1219" t="s">
        <v>29</v>
      </c>
    </row>
    <row r="1220" spans="1:4" x14ac:dyDescent="0.25">
      <c r="A1220" t="s">
        <v>102</v>
      </c>
      <c r="B1220" s="2">
        <v>45714</v>
      </c>
      <c r="C1220" s="1">
        <v>2.4300000000000002</v>
      </c>
      <c r="D1220" t="s">
        <v>29</v>
      </c>
    </row>
    <row r="1221" spans="1:4" x14ac:dyDescent="0.25">
      <c r="A1221" t="s">
        <v>90</v>
      </c>
      <c r="B1221" s="2">
        <v>45692</v>
      </c>
      <c r="C1221" s="1">
        <v>7.6</v>
      </c>
      <c r="D1221" t="s">
        <v>29</v>
      </c>
    </row>
    <row r="1222" spans="1:4" x14ac:dyDescent="0.25">
      <c r="A1222" t="s">
        <v>110</v>
      </c>
      <c r="B1222" s="2">
        <v>45701</v>
      </c>
      <c r="C1222" s="1">
        <v>7.6</v>
      </c>
      <c r="D1222" t="s">
        <v>29</v>
      </c>
    </row>
    <row r="1223" spans="1:4" x14ac:dyDescent="0.25">
      <c r="A1223" t="s">
        <v>143</v>
      </c>
      <c r="B1223" s="2">
        <v>45702</v>
      </c>
      <c r="C1223" s="1">
        <v>7.6</v>
      </c>
      <c r="D1223" t="s">
        <v>29</v>
      </c>
    </row>
    <row r="1224" spans="1:4" x14ac:dyDescent="0.25">
      <c r="A1224" t="s">
        <v>128</v>
      </c>
      <c r="B1224" s="2">
        <v>45692</v>
      </c>
      <c r="C1224" s="1">
        <v>7.2</v>
      </c>
      <c r="D1224" t="s">
        <v>29</v>
      </c>
    </row>
    <row r="1225" spans="1:4" x14ac:dyDescent="0.25">
      <c r="A1225" t="s">
        <v>143</v>
      </c>
      <c r="B1225" s="2">
        <v>45694</v>
      </c>
      <c r="C1225" s="1">
        <v>2.08</v>
      </c>
      <c r="D1225" t="s">
        <v>29</v>
      </c>
    </row>
    <row r="1226" spans="1:4" x14ac:dyDescent="0.25">
      <c r="A1226" t="s">
        <v>109</v>
      </c>
      <c r="B1226" s="2">
        <v>45705</v>
      </c>
      <c r="C1226" s="1">
        <v>7.2</v>
      </c>
      <c r="D1226" t="s">
        <v>29</v>
      </c>
    </row>
    <row r="1227" spans="1:4" x14ac:dyDescent="0.25">
      <c r="A1227" t="s">
        <v>127</v>
      </c>
      <c r="B1227" s="2">
        <v>45695</v>
      </c>
      <c r="C1227" s="1">
        <v>7.2</v>
      </c>
      <c r="D1227" t="s">
        <v>29</v>
      </c>
    </row>
    <row r="1228" spans="1:4" x14ac:dyDescent="0.25">
      <c r="A1228" t="s">
        <v>99</v>
      </c>
      <c r="B1228" s="2">
        <v>45698</v>
      </c>
      <c r="C1228" s="1">
        <v>7.2</v>
      </c>
      <c r="D1228" t="s">
        <v>29</v>
      </c>
    </row>
    <row r="1229" spans="1:4" x14ac:dyDescent="0.25">
      <c r="A1229" t="s">
        <v>71</v>
      </c>
      <c r="B1229" s="2">
        <v>45705</v>
      </c>
      <c r="C1229" s="1">
        <v>3.3</v>
      </c>
      <c r="D1229" t="s">
        <v>29</v>
      </c>
    </row>
    <row r="1230" spans="1:4" x14ac:dyDescent="0.25">
      <c r="A1230" t="s">
        <v>68</v>
      </c>
      <c r="B1230" s="2">
        <v>45708</v>
      </c>
      <c r="C1230" s="1">
        <v>7.2</v>
      </c>
      <c r="D1230" t="s">
        <v>29</v>
      </c>
    </row>
    <row r="1231" spans="1:4" x14ac:dyDescent="0.25">
      <c r="A1231" t="s">
        <v>137</v>
      </c>
      <c r="B1231" s="2">
        <v>45709</v>
      </c>
      <c r="C1231" s="1">
        <v>7.2</v>
      </c>
      <c r="D1231" t="s">
        <v>29</v>
      </c>
    </row>
    <row r="1232" spans="1:4" x14ac:dyDescent="0.25">
      <c r="A1232" t="s">
        <v>85</v>
      </c>
      <c r="B1232" s="2">
        <v>45715</v>
      </c>
      <c r="C1232" s="1">
        <v>7.2</v>
      </c>
      <c r="D1232" t="s">
        <v>29</v>
      </c>
    </row>
    <row r="1233" spans="1:4" x14ac:dyDescent="0.25">
      <c r="A1233" t="s">
        <v>121</v>
      </c>
      <c r="B1233" s="2">
        <v>45716</v>
      </c>
      <c r="C1233" s="1">
        <v>7.2</v>
      </c>
      <c r="D1233" t="s">
        <v>29</v>
      </c>
    </row>
    <row r="1234" spans="1:4" x14ac:dyDescent="0.25">
      <c r="A1234" t="s">
        <v>117</v>
      </c>
      <c r="B1234" s="2">
        <v>45710</v>
      </c>
      <c r="C1234" s="1">
        <v>6</v>
      </c>
      <c r="D1234" t="s">
        <v>29</v>
      </c>
    </row>
    <row r="1235" spans="1:4" x14ac:dyDescent="0.25">
      <c r="A1235" t="s">
        <v>95</v>
      </c>
      <c r="B1235" s="2">
        <v>45716</v>
      </c>
      <c r="C1235" s="1">
        <v>7.2</v>
      </c>
      <c r="D1235" t="s">
        <v>29</v>
      </c>
    </row>
    <row r="1236" spans="1:4" x14ac:dyDescent="0.25">
      <c r="A1236" t="s">
        <v>108</v>
      </c>
      <c r="B1236" s="2">
        <v>45701</v>
      </c>
      <c r="C1236" s="1">
        <v>1.05</v>
      </c>
      <c r="D1236" t="s">
        <v>29</v>
      </c>
    </row>
    <row r="1237" spans="1:4" x14ac:dyDescent="0.25">
      <c r="A1237" t="s">
        <v>68</v>
      </c>
      <c r="B1237" s="2">
        <v>45698</v>
      </c>
      <c r="C1237" s="1">
        <v>0.48</v>
      </c>
      <c r="D1237" t="s">
        <v>29</v>
      </c>
    </row>
    <row r="1238" spans="1:4" x14ac:dyDescent="0.25">
      <c r="A1238" t="s">
        <v>85</v>
      </c>
      <c r="B1238" s="2">
        <v>45707</v>
      </c>
      <c r="C1238" s="1">
        <v>0.67</v>
      </c>
      <c r="D1238" t="s">
        <v>29</v>
      </c>
    </row>
    <row r="1239" spans="1:4" x14ac:dyDescent="0.25">
      <c r="A1239" t="s">
        <v>129</v>
      </c>
      <c r="B1239" s="2">
        <v>45712</v>
      </c>
      <c r="C1239" s="1">
        <v>0.38</v>
      </c>
      <c r="D1239" t="s">
        <v>29</v>
      </c>
    </row>
    <row r="1240" spans="1:4" x14ac:dyDescent="0.25">
      <c r="A1240" t="s">
        <v>76</v>
      </c>
      <c r="B1240" s="2">
        <v>45714</v>
      </c>
      <c r="C1240" s="1">
        <v>0.52</v>
      </c>
      <c r="D1240" t="s">
        <v>29</v>
      </c>
    </row>
    <row r="1241" spans="1:4" x14ac:dyDescent="0.25">
      <c r="A1241" t="s">
        <v>136</v>
      </c>
      <c r="B1241" s="2">
        <v>45705</v>
      </c>
      <c r="C1241" s="1">
        <v>3.07</v>
      </c>
      <c r="D1241" t="s">
        <v>29</v>
      </c>
    </row>
    <row r="1242" spans="1:4" x14ac:dyDescent="0.25">
      <c r="A1242" t="s">
        <v>124</v>
      </c>
      <c r="B1242" s="2">
        <v>45694</v>
      </c>
      <c r="C1242" s="1">
        <v>7.2</v>
      </c>
      <c r="D1242" t="s">
        <v>29</v>
      </c>
    </row>
    <row r="1243" spans="1:4" x14ac:dyDescent="0.25">
      <c r="A1243" t="s">
        <v>72</v>
      </c>
      <c r="B1243" s="2">
        <v>45695</v>
      </c>
      <c r="C1243" s="1">
        <v>7.2</v>
      </c>
      <c r="D1243" t="s">
        <v>29</v>
      </c>
    </row>
    <row r="1244" spans="1:4" x14ac:dyDescent="0.25">
      <c r="A1244" t="s">
        <v>128</v>
      </c>
      <c r="B1244" s="2">
        <v>45708</v>
      </c>
      <c r="C1244" s="1">
        <v>7.2</v>
      </c>
      <c r="D1244" t="s">
        <v>29</v>
      </c>
    </row>
    <row r="1245" spans="1:4" x14ac:dyDescent="0.25">
      <c r="A1245" t="s">
        <v>124</v>
      </c>
      <c r="B1245" s="2">
        <v>45709</v>
      </c>
      <c r="C1245" s="1">
        <v>7.2</v>
      </c>
      <c r="D1245" t="s">
        <v>29</v>
      </c>
    </row>
    <row r="1246" spans="1:4" x14ac:dyDescent="0.25">
      <c r="A1246" t="s">
        <v>131</v>
      </c>
      <c r="B1246" s="2">
        <v>45715</v>
      </c>
      <c r="C1246" s="1">
        <v>7.2</v>
      </c>
      <c r="D1246" t="s">
        <v>29</v>
      </c>
    </row>
    <row r="1247" spans="1:4" x14ac:dyDescent="0.25">
      <c r="A1247" t="s">
        <v>67</v>
      </c>
      <c r="B1247" s="2">
        <v>45716</v>
      </c>
      <c r="C1247" s="1">
        <v>7.2</v>
      </c>
      <c r="D1247" t="s">
        <v>29</v>
      </c>
    </row>
    <row r="1248" spans="1:4" x14ac:dyDescent="0.25">
      <c r="A1248" t="s">
        <v>83</v>
      </c>
      <c r="B1248" s="2">
        <v>45702</v>
      </c>
      <c r="C1248" s="1">
        <v>5.25</v>
      </c>
      <c r="D1248" t="s">
        <v>29</v>
      </c>
    </row>
    <row r="1249" spans="1:4" x14ac:dyDescent="0.25">
      <c r="A1249" t="s">
        <v>102</v>
      </c>
      <c r="B1249" s="2">
        <v>45706</v>
      </c>
      <c r="C1249" s="1">
        <v>8.5</v>
      </c>
      <c r="D1249" t="s">
        <v>29</v>
      </c>
    </row>
    <row r="1250" spans="1:4" x14ac:dyDescent="0.25">
      <c r="A1250" t="s">
        <v>70</v>
      </c>
      <c r="B1250" s="2">
        <v>45715</v>
      </c>
      <c r="C1250" s="1">
        <v>0.5</v>
      </c>
      <c r="D1250" t="s">
        <v>29</v>
      </c>
    </row>
    <row r="1251" spans="1:4" x14ac:dyDescent="0.25">
      <c r="A1251" t="s">
        <v>134</v>
      </c>
      <c r="B1251" s="2">
        <v>45709</v>
      </c>
      <c r="C1251" s="1">
        <v>7.2</v>
      </c>
      <c r="D1251" t="s">
        <v>29</v>
      </c>
    </row>
    <row r="1252" spans="1:4" x14ac:dyDescent="0.25">
      <c r="A1252" t="s">
        <v>78</v>
      </c>
      <c r="B1252" s="2">
        <v>45692</v>
      </c>
      <c r="C1252" s="1">
        <v>8</v>
      </c>
      <c r="D1252" t="s">
        <v>29</v>
      </c>
    </row>
    <row r="1253" spans="1:4" x14ac:dyDescent="0.25">
      <c r="A1253" t="s">
        <v>112</v>
      </c>
      <c r="B1253" s="2">
        <v>45701</v>
      </c>
      <c r="C1253" s="1">
        <v>0.98</v>
      </c>
      <c r="D1253" t="s">
        <v>29</v>
      </c>
    </row>
    <row r="1254" spans="1:4" x14ac:dyDescent="0.25">
      <c r="A1254" t="s">
        <v>98</v>
      </c>
      <c r="B1254" s="2">
        <v>45699</v>
      </c>
      <c r="C1254" s="1">
        <v>0.97</v>
      </c>
      <c r="D1254" t="s">
        <v>29</v>
      </c>
    </row>
    <row r="1255" spans="1:4" x14ac:dyDescent="0.25">
      <c r="A1255" t="s">
        <v>124</v>
      </c>
      <c r="B1255" s="2">
        <v>45691</v>
      </c>
      <c r="C1255" s="1">
        <v>7.2</v>
      </c>
      <c r="D1255" t="s">
        <v>29</v>
      </c>
    </row>
    <row r="1256" spans="1:4" x14ac:dyDescent="0.25">
      <c r="A1256" t="s">
        <v>118</v>
      </c>
      <c r="B1256" s="2">
        <v>45698</v>
      </c>
      <c r="C1256" s="1">
        <v>7.2</v>
      </c>
      <c r="D1256" t="s">
        <v>29</v>
      </c>
    </row>
    <row r="1257" spans="1:4" x14ac:dyDescent="0.25">
      <c r="A1257" t="s">
        <v>68</v>
      </c>
      <c r="B1257" s="2">
        <v>45699</v>
      </c>
      <c r="C1257" s="1">
        <v>7.2</v>
      </c>
      <c r="D1257" t="s">
        <v>29</v>
      </c>
    </row>
    <row r="1258" spans="1:4" x14ac:dyDescent="0.25">
      <c r="A1258" t="s">
        <v>95</v>
      </c>
      <c r="B1258" s="2">
        <v>45700</v>
      </c>
      <c r="C1258" s="1">
        <v>7.2</v>
      </c>
      <c r="D1258" t="s">
        <v>29</v>
      </c>
    </row>
    <row r="1259" spans="1:4" x14ac:dyDescent="0.25">
      <c r="A1259" t="s">
        <v>87</v>
      </c>
      <c r="B1259" s="2">
        <v>45701</v>
      </c>
      <c r="C1259" s="1">
        <v>7.2</v>
      </c>
      <c r="D1259" t="s">
        <v>29</v>
      </c>
    </row>
    <row r="1260" spans="1:4" x14ac:dyDescent="0.25">
      <c r="A1260" t="s">
        <v>67</v>
      </c>
      <c r="B1260" s="2">
        <v>45702</v>
      </c>
      <c r="C1260" s="1">
        <v>7.2</v>
      </c>
      <c r="D1260" t="s">
        <v>29</v>
      </c>
    </row>
    <row r="1261" spans="1:4" x14ac:dyDescent="0.25">
      <c r="A1261" t="s">
        <v>136</v>
      </c>
      <c r="B1261" s="2">
        <v>45691</v>
      </c>
      <c r="C1261" s="1">
        <v>3.93</v>
      </c>
      <c r="D1261" t="s">
        <v>29</v>
      </c>
    </row>
    <row r="1262" spans="1:4" x14ac:dyDescent="0.25">
      <c r="A1262" t="s">
        <v>114</v>
      </c>
      <c r="B1262" s="2">
        <v>45708</v>
      </c>
      <c r="C1262" s="1">
        <v>0.98</v>
      </c>
      <c r="D1262" t="s">
        <v>29</v>
      </c>
    </row>
    <row r="1263" spans="1:4" x14ac:dyDescent="0.25">
      <c r="A1263" t="s">
        <v>124</v>
      </c>
      <c r="B1263" s="2">
        <v>45714</v>
      </c>
      <c r="C1263" s="1">
        <v>0.5</v>
      </c>
      <c r="D1263" t="s">
        <v>29</v>
      </c>
    </row>
    <row r="1264" spans="1:4" x14ac:dyDescent="0.25">
      <c r="A1264" t="s">
        <v>104</v>
      </c>
      <c r="B1264" s="2">
        <v>45715</v>
      </c>
      <c r="C1264" s="1">
        <v>8.5</v>
      </c>
      <c r="D1264" t="s">
        <v>29</v>
      </c>
    </row>
    <row r="1265" spans="1:4" x14ac:dyDescent="0.25">
      <c r="A1265" t="s">
        <v>144</v>
      </c>
      <c r="B1265" s="2">
        <v>45716</v>
      </c>
      <c r="C1265" s="1">
        <v>5.25</v>
      </c>
      <c r="D1265" t="s">
        <v>29</v>
      </c>
    </row>
    <row r="1266" spans="1:4" x14ac:dyDescent="0.25">
      <c r="A1266" t="s">
        <v>80</v>
      </c>
      <c r="B1266" s="2">
        <v>45712</v>
      </c>
      <c r="C1266" s="1">
        <v>7.6</v>
      </c>
      <c r="D1266" t="s">
        <v>29</v>
      </c>
    </row>
    <row r="1267" spans="1:4" x14ac:dyDescent="0.25">
      <c r="A1267" t="s">
        <v>111</v>
      </c>
      <c r="B1267" s="2">
        <v>45713</v>
      </c>
      <c r="C1267" s="1">
        <v>7.6</v>
      </c>
      <c r="D1267" t="s">
        <v>29</v>
      </c>
    </row>
    <row r="1268" spans="1:4" x14ac:dyDescent="0.25">
      <c r="A1268" t="s">
        <v>86</v>
      </c>
      <c r="B1268" s="2">
        <v>45692</v>
      </c>
      <c r="C1268" s="1">
        <v>1.63</v>
      </c>
      <c r="D1268" t="s">
        <v>29</v>
      </c>
    </row>
    <row r="1269" spans="1:4" x14ac:dyDescent="0.25">
      <c r="A1269" t="s">
        <v>148</v>
      </c>
      <c r="B1269" s="2">
        <v>45702</v>
      </c>
      <c r="C1269" s="1">
        <v>1.68</v>
      </c>
      <c r="D1269" t="s">
        <v>29</v>
      </c>
    </row>
    <row r="1270" spans="1:4" x14ac:dyDescent="0.25">
      <c r="A1270" t="s">
        <v>76</v>
      </c>
      <c r="B1270" s="2">
        <v>45698</v>
      </c>
      <c r="C1270" s="1">
        <v>0.3</v>
      </c>
      <c r="D1270" t="s">
        <v>29</v>
      </c>
    </row>
    <row r="1271" spans="1:4" x14ac:dyDescent="0.25">
      <c r="A1271" t="s">
        <v>68</v>
      </c>
      <c r="B1271" s="2">
        <v>45715</v>
      </c>
      <c r="C1271" s="1">
        <v>0.28000000000000003</v>
      </c>
      <c r="D1271" t="s">
        <v>29</v>
      </c>
    </row>
    <row r="1272" spans="1:4" x14ac:dyDescent="0.25">
      <c r="A1272" t="s">
        <v>123</v>
      </c>
      <c r="B1272" s="2">
        <v>45689</v>
      </c>
      <c r="C1272" s="1">
        <v>0.5</v>
      </c>
      <c r="D1272" t="s">
        <v>29</v>
      </c>
    </row>
    <row r="1273" spans="1:4" x14ac:dyDescent="0.25">
      <c r="A1273" t="s">
        <v>117</v>
      </c>
      <c r="B1273" s="2">
        <v>45696</v>
      </c>
      <c r="C1273" s="1">
        <v>0.8</v>
      </c>
      <c r="D1273" t="s">
        <v>29</v>
      </c>
    </row>
    <row r="1274" spans="1:4" x14ac:dyDescent="0.25">
      <c r="A1274" t="s">
        <v>132</v>
      </c>
      <c r="B1274" s="2">
        <v>45703</v>
      </c>
      <c r="C1274" s="1">
        <v>0.6</v>
      </c>
      <c r="D1274" t="s">
        <v>29</v>
      </c>
    </row>
    <row r="1275" spans="1:4" x14ac:dyDescent="0.25">
      <c r="A1275" t="s">
        <v>105</v>
      </c>
      <c r="B1275" s="2">
        <v>45710</v>
      </c>
      <c r="C1275" s="1">
        <v>0.92</v>
      </c>
      <c r="D1275" t="s">
        <v>29</v>
      </c>
    </row>
    <row r="1276" spans="1:4" x14ac:dyDescent="0.25">
      <c r="A1276" t="s">
        <v>99</v>
      </c>
      <c r="B1276" s="2">
        <v>45707</v>
      </c>
      <c r="C1276" s="1">
        <v>0.92</v>
      </c>
      <c r="D1276" t="s">
        <v>29</v>
      </c>
    </row>
    <row r="1277" spans="1:4" x14ac:dyDescent="0.25">
      <c r="A1277" t="s">
        <v>85</v>
      </c>
      <c r="B1277" s="2">
        <v>45699</v>
      </c>
      <c r="C1277" s="1">
        <v>7.2</v>
      </c>
      <c r="D1277" t="s">
        <v>29</v>
      </c>
    </row>
    <row r="1278" spans="1:4" x14ac:dyDescent="0.25">
      <c r="A1278" t="s">
        <v>142</v>
      </c>
      <c r="B1278" s="2">
        <v>45712</v>
      </c>
      <c r="C1278" s="1">
        <v>7.2</v>
      </c>
      <c r="D1278" t="s">
        <v>29</v>
      </c>
    </row>
    <row r="1279" spans="1:4" x14ac:dyDescent="0.25">
      <c r="A1279" t="s">
        <v>90</v>
      </c>
      <c r="B1279" s="2">
        <v>45701</v>
      </c>
      <c r="C1279" s="1">
        <v>10</v>
      </c>
      <c r="D1279" t="s">
        <v>29</v>
      </c>
    </row>
    <row r="1280" spans="1:4" x14ac:dyDescent="0.25">
      <c r="A1280" t="s">
        <v>124</v>
      </c>
      <c r="B1280" s="2">
        <v>45716</v>
      </c>
      <c r="C1280" s="1">
        <v>1</v>
      </c>
      <c r="D1280" t="s">
        <v>29</v>
      </c>
    </row>
    <row r="1281" spans="1:4" x14ac:dyDescent="0.25">
      <c r="A1281" t="s">
        <v>113</v>
      </c>
      <c r="B1281" s="2">
        <v>45692</v>
      </c>
      <c r="C1281" s="1">
        <v>7.2</v>
      </c>
      <c r="D1281" t="s">
        <v>29</v>
      </c>
    </row>
    <row r="1282" spans="1:4" x14ac:dyDescent="0.25">
      <c r="A1282" t="s">
        <v>119</v>
      </c>
      <c r="B1282" s="2">
        <v>45695</v>
      </c>
      <c r="C1282" s="1">
        <v>2.62</v>
      </c>
      <c r="D1282" t="s">
        <v>29</v>
      </c>
    </row>
    <row r="1283" spans="1:4" x14ac:dyDescent="0.25">
      <c r="A1283" t="s">
        <v>128</v>
      </c>
      <c r="B1283" s="2">
        <v>45699</v>
      </c>
      <c r="C1283" s="1">
        <v>1.05</v>
      </c>
      <c r="D1283" t="s">
        <v>29</v>
      </c>
    </row>
    <row r="1284" spans="1:4" x14ac:dyDescent="0.25">
      <c r="A1284" t="s">
        <v>144</v>
      </c>
      <c r="B1284" s="2">
        <v>45700</v>
      </c>
      <c r="C1284" s="1">
        <v>1.1000000000000001</v>
      </c>
      <c r="D1284" t="s">
        <v>29</v>
      </c>
    </row>
    <row r="1285" spans="1:4" x14ac:dyDescent="0.25">
      <c r="A1285" t="s">
        <v>95</v>
      </c>
      <c r="B1285" s="2">
        <v>45702</v>
      </c>
      <c r="C1285" s="1">
        <v>2.5299999999999998</v>
      </c>
      <c r="D1285" t="s">
        <v>29</v>
      </c>
    </row>
    <row r="1286" spans="1:4" x14ac:dyDescent="0.25">
      <c r="A1286" t="s">
        <v>102</v>
      </c>
      <c r="B1286" s="2">
        <v>45709</v>
      </c>
      <c r="C1286" s="1">
        <v>2.85</v>
      </c>
      <c r="D1286" t="s">
        <v>29</v>
      </c>
    </row>
    <row r="1287" spans="1:4" x14ac:dyDescent="0.25">
      <c r="A1287" t="s">
        <v>111</v>
      </c>
      <c r="B1287" s="2">
        <v>45713</v>
      </c>
      <c r="C1287" s="1">
        <v>1.1000000000000001</v>
      </c>
      <c r="D1287" t="s">
        <v>29</v>
      </c>
    </row>
    <row r="1288" spans="1:4" x14ac:dyDescent="0.25">
      <c r="A1288" t="s">
        <v>102</v>
      </c>
      <c r="B1288" s="2">
        <v>45716</v>
      </c>
      <c r="C1288" s="1">
        <v>7.6</v>
      </c>
      <c r="D1288" t="s">
        <v>29</v>
      </c>
    </row>
    <row r="1289" spans="1:4" x14ac:dyDescent="0.25">
      <c r="A1289" t="s">
        <v>72</v>
      </c>
      <c r="B1289" s="2">
        <v>45706</v>
      </c>
      <c r="C1289" s="1">
        <v>7.6</v>
      </c>
      <c r="D1289" t="s">
        <v>29</v>
      </c>
    </row>
    <row r="1290" spans="1:4" x14ac:dyDescent="0.25">
      <c r="A1290" t="s">
        <v>114</v>
      </c>
      <c r="B1290" s="2">
        <v>45689</v>
      </c>
      <c r="C1290" s="1">
        <v>1</v>
      </c>
      <c r="D1290" t="s">
        <v>29</v>
      </c>
    </row>
    <row r="1291" spans="1:4" x14ac:dyDescent="0.25">
      <c r="A1291" t="s">
        <v>97</v>
      </c>
      <c r="B1291" s="2">
        <v>45703</v>
      </c>
      <c r="C1291" s="1">
        <v>6</v>
      </c>
      <c r="D1291" t="s">
        <v>29</v>
      </c>
    </row>
    <row r="1292" spans="1:4" x14ac:dyDescent="0.25">
      <c r="A1292" t="s">
        <v>81</v>
      </c>
      <c r="B1292" s="2">
        <v>45689</v>
      </c>
      <c r="C1292" s="1">
        <v>1</v>
      </c>
      <c r="D1292" t="s">
        <v>29</v>
      </c>
    </row>
    <row r="1293" spans="1:4" x14ac:dyDescent="0.25">
      <c r="A1293" t="s">
        <v>118</v>
      </c>
      <c r="B1293" s="2">
        <v>45700</v>
      </c>
      <c r="C1293" s="1">
        <v>0.28000000000000003</v>
      </c>
      <c r="D1293" t="s">
        <v>29</v>
      </c>
    </row>
    <row r="1294" spans="1:4" x14ac:dyDescent="0.25">
      <c r="A1294" t="s">
        <v>115</v>
      </c>
      <c r="B1294" s="2">
        <v>45716</v>
      </c>
      <c r="C1294" s="1">
        <v>7</v>
      </c>
      <c r="D1294" t="s">
        <v>29</v>
      </c>
    </row>
    <row r="1295" spans="1:4" x14ac:dyDescent="0.25">
      <c r="A1295" t="s">
        <v>128</v>
      </c>
      <c r="B1295" s="2">
        <v>45691</v>
      </c>
      <c r="C1295" s="1">
        <v>6</v>
      </c>
      <c r="D1295" t="s">
        <v>29</v>
      </c>
    </row>
    <row r="1296" spans="1:4" x14ac:dyDescent="0.25">
      <c r="A1296" t="s">
        <v>127</v>
      </c>
      <c r="B1296" s="2">
        <v>45692</v>
      </c>
      <c r="C1296" s="1">
        <v>6</v>
      </c>
      <c r="D1296" t="s">
        <v>29</v>
      </c>
    </row>
    <row r="1297" spans="1:4" x14ac:dyDescent="0.25">
      <c r="A1297" t="s">
        <v>129</v>
      </c>
      <c r="B1297" s="2">
        <v>45708</v>
      </c>
      <c r="C1297" s="1">
        <v>6</v>
      </c>
      <c r="D1297" t="s">
        <v>29</v>
      </c>
    </row>
    <row r="1298" spans="1:4" x14ac:dyDescent="0.25">
      <c r="A1298" t="s">
        <v>68</v>
      </c>
      <c r="B1298" s="2">
        <v>45709</v>
      </c>
      <c r="C1298" s="1">
        <v>6</v>
      </c>
      <c r="D1298" t="s">
        <v>29</v>
      </c>
    </row>
    <row r="1299" spans="1:4" x14ac:dyDescent="0.25">
      <c r="A1299" t="s">
        <v>145</v>
      </c>
      <c r="B1299" s="2">
        <v>45706</v>
      </c>
      <c r="C1299" s="1">
        <v>7.2</v>
      </c>
      <c r="D1299" t="s">
        <v>29</v>
      </c>
    </row>
    <row r="1300" spans="1:4" x14ac:dyDescent="0.25">
      <c r="A1300" t="s">
        <v>111</v>
      </c>
      <c r="B1300" s="2">
        <v>45705</v>
      </c>
      <c r="C1300" s="1">
        <v>7.2</v>
      </c>
      <c r="D1300" t="s">
        <v>29</v>
      </c>
    </row>
    <row r="1301" spans="1:4" x14ac:dyDescent="0.25">
      <c r="A1301" t="s">
        <v>137</v>
      </c>
      <c r="B1301" s="2">
        <v>45706</v>
      </c>
      <c r="C1301" s="1">
        <v>7.2</v>
      </c>
      <c r="D1301" t="s">
        <v>29</v>
      </c>
    </row>
    <row r="1302" spans="1:4" x14ac:dyDescent="0.25">
      <c r="A1302" t="s">
        <v>121</v>
      </c>
      <c r="B1302" s="2">
        <v>45707</v>
      </c>
      <c r="C1302" s="1">
        <v>7.2</v>
      </c>
      <c r="D1302" t="s">
        <v>29</v>
      </c>
    </row>
    <row r="1303" spans="1:4" x14ac:dyDescent="0.25">
      <c r="A1303" t="s">
        <v>129</v>
      </c>
      <c r="B1303" s="2">
        <v>45708</v>
      </c>
      <c r="C1303" s="1">
        <v>7.2</v>
      </c>
      <c r="D1303" t="s">
        <v>29</v>
      </c>
    </row>
    <row r="1304" spans="1:4" x14ac:dyDescent="0.25">
      <c r="A1304" t="s">
        <v>88</v>
      </c>
      <c r="B1304" s="2">
        <v>45709</v>
      </c>
      <c r="C1304" s="1">
        <v>7.2</v>
      </c>
      <c r="D1304" t="s">
        <v>29</v>
      </c>
    </row>
    <row r="1305" spans="1:4" x14ac:dyDescent="0.25">
      <c r="A1305" t="s">
        <v>126</v>
      </c>
      <c r="B1305" s="2">
        <v>45713</v>
      </c>
      <c r="C1305" s="1">
        <v>7.2</v>
      </c>
      <c r="D1305" t="s">
        <v>29</v>
      </c>
    </row>
    <row r="1306" spans="1:4" x14ac:dyDescent="0.25">
      <c r="A1306" t="s">
        <v>114</v>
      </c>
      <c r="B1306" s="2">
        <v>45714</v>
      </c>
      <c r="C1306" s="1">
        <v>7.2</v>
      </c>
      <c r="D1306" t="s">
        <v>29</v>
      </c>
    </row>
    <row r="1307" spans="1:4" x14ac:dyDescent="0.25">
      <c r="A1307" t="s">
        <v>68</v>
      </c>
      <c r="B1307" s="2">
        <v>45695</v>
      </c>
      <c r="C1307" s="1">
        <v>0.9</v>
      </c>
      <c r="D1307" t="s">
        <v>29</v>
      </c>
    </row>
    <row r="1308" spans="1:4" x14ac:dyDescent="0.25">
      <c r="A1308" t="s">
        <v>80</v>
      </c>
      <c r="B1308" s="2">
        <v>45716</v>
      </c>
      <c r="C1308" s="1">
        <v>1.45</v>
      </c>
      <c r="D1308" t="s">
        <v>29</v>
      </c>
    </row>
    <row r="1309" spans="1:4" x14ac:dyDescent="0.25">
      <c r="A1309" t="s">
        <v>135</v>
      </c>
      <c r="B1309" s="2">
        <v>45692</v>
      </c>
      <c r="C1309" s="1">
        <v>7.2</v>
      </c>
      <c r="D1309" t="s">
        <v>29</v>
      </c>
    </row>
    <row r="1310" spans="1:4" x14ac:dyDescent="0.25">
      <c r="A1310" t="s">
        <v>88</v>
      </c>
      <c r="B1310" s="2">
        <v>45702</v>
      </c>
      <c r="C1310" s="1">
        <v>1.77</v>
      </c>
      <c r="D1310" t="s">
        <v>29</v>
      </c>
    </row>
    <row r="1311" spans="1:4" x14ac:dyDescent="0.25">
      <c r="A1311" t="s">
        <v>146</v>
      </c>
      <c r="B1311" s="2">
        <v>45716</v>
      </c>
      <c r="C1311" s="1">
        <v>7.2</v>
      </c>
      <c r="D1311" t="s">
        <v>29</v>
      </c>
    </row>
    <row r="1312" spans="1:4" x14ac:dyDescent="0.25">
      <c r="A1312" t="s">
        <v>95</v>
      </c>
      <c r="B1312" s="2">
        <v>45714</v>
      </c>
      <c r="C1312" s="1">
        <v>7.2</v>
      </c>
      <c r="D1312" t="s">
        <v>29</v>
      </c>
    </row>
    <row r="1313" spans="1:4" x14ac:dyDescent="0.25">
      <c r="A1313" t="s">
        <v>124</v>
      </c>
      <c r="B1313" s="2">
        <v>45694</v>
      </c>
      <c r="C1313" s="1">
        <v>1</v>
      </c>
      <c r="D1313" t="s">
        <v>29</v>
      </c>
    </row>
    <row r="1314" spans="1:4" x14ac:dyDescent="0.25">
      <c r="A1314" t="s">
        <v>149</v>
      </c>
      <c r="B1314" s="2">
        <v>45705</v>
      </c>
      <c r="C1314" s="1">
        <v>7.2</v>
      </c>
      <c r="D1314" t="s">
        <v>29</v>
      </c>
    </row>
    <row r="1315" spans="1:4" x14ac:dyDescent="0.25">
      <c r="A1315" t="s">
        <v>93</v>
      </c>
      <c r="B1315" s="2">
        <v>45706</v>
      </c>
      <c r="C1315" s="1">
        <v>7.2</v>
      </c>
      <c r="D1315" t="s">
        <v>29</v>
      </c>
    </row>
    <row r="1316" spans="1:4" x14ac:dyDescent="0.25">
      <c r="A1316" t="s">
        <v>100</v>
      </c>
      <c r="B1316" s="2">
        <v>45712</v>
      </c>
      <c r="C1316" s="1">
        <v>7.2</v>
      </c>
      <c r="D1316" t="s">
        <v>29</v>
      </c>
    </row>
    <row r="1317" spans="1:4" x14ac:dyDescent="0.25">
      <c r="A1317" t="s">
        <v>139</v>
      </c>
      <c r="B1317" s="2">
        <v>45713</v>
      </c>
      <c r="C1317" s="1">
        <v>0.68</v>
      </c>
      <c r="D1317" t="s">
        <v>29</v>
      </c>
    </row>
    <row r="1318" spans="1:4" x14ac:dyDescent="0.25">
      <c r="A1318" t="s">
        <v>149</v>
      </c>
      <c r="B1318" s="2">
        <v>45714</v>
      </c>
      <c r="C1318" s="1">
        <v>0.27</v>
      </c>
      <c r="D1318" t="s">
        <v>29</v>
      </c>
    </row>
    <row r="1319" spans="1:4" x14ac:dyDescent="0.25">
      <c r="A1319" t="s">
        <v>143</v>
      </c>
      <c r="B1319" s="2">
        <v>45715</v>
      </c>
      <c r="C1319" s="1">
        <v>0.48</v>
      </c>
      <c r="D1319" t="s">
        <v>29</v>
      </c>
    </row>
    <row r="1320" spans="1:4" x14ac:dyDescent="0.25">
      <c r="A1320" t="s">
        <v>68</v>
      </c>
      <c r="B1320" s="2">
        <v>45707</v>
      </c>
      <c r="C1320" s="1">
        <v>7.6</v>
      </c>
      <c r="D1320" t="s">
        <v>29</v>
      </c>
    </row>
    <row r="1321" spans="1:4" x14ac:dyDescent="0.25">
      <c r="A1321" t="s">
        <v>85</v>
      </c>
      <c r="B1321" s="2">
        <v>45695</v>
      </c>
      <c r="C1321" s="1">
        <v>7.6</v>
      </c>
      <c r="D1321" t="s">
        <v>29</v>
      </c>
    </row>
    <row r="1322" spans="1:4" x14ac:dyDescent="0.25">
      <c r="A1322" t="s">
        <v>147</v>
      </c>
      <c r="B1322" s="2">
        <v>45712</v>
      </c>
      <c r="C1322" s="1">
        <v>7.6</v>
      </c>
      <c r="D1322" t="s">
        <v>29</v>
      </c>
    </row>
    <row r="1323" spans="1:4" x14ac:dyDescent="0.25">
      <c r="A1323" t="s">
        <v>149</v>
      </c>
      <c r="B1323" s="2">
        <v>45713</v>
      </c>
      <c r="C1323" s="1">
        <v>7.6</v>
      </c>
      <c r="D1323" t="s">
        <v>29</v>
      </c>
    </row>
    <row r="1324" spans="1:4" x14ac:dyDescent="0.25">
      <c r="A1324" t="s">
        <v>117</v>
      </c>
      <c r="B1324" s="2">
        <v>45714</v>
      </c>
      <c r="C1324" s="1">
        <v>7.6</v>
      </c>
      <c r="D1324" t="s">
        <v>29</v>
      </c>
    </row>
    <row r="1325" spans="1:4" x14ac:dyDescent="0.25">
      <c r="A1325" t="s">
        <v>135</v>
      </c>
      <c r="B1325" s="2">
        <v>45701</v>
      </c>
      <c r="C1325" s="1">
        <v>0.98</v>
      </c>
      <c r="D1325" t="s">
        <v>29</v>
      </c>
    </row>
    <row r="1326" spans="1:4" x14ac:dyDescent="0.25">
      <c r="A1326" t="s">
        <v>68</v>
      </c>
      <c r="B1326" s="2">
        <v>45708</v>
      </c>
      <c r="C1326" s="1">
        <v>3.28</v>
      </c>
      <c r="D1326" t="s">
        <v>29</v>
      </c>
    </row>
    <row r="1327" spans="1:4" x14ac:dyDescent="0.25">
      <c r="A1327" t="s">
        <v>91</v>
      </c>
      <c r="B1327" s="2">
        <v>45695</v>
      </c>
      <c r="C1327" s="1">
        <v>0.42</v>
      </c>
      <c r="D1327" t="s">
        <v>29</v>
      </c>
    </row>
    <row r="1328" spans="1:4" x14ac:dyDescent="0.25">
      <c r="A1328" t="s">
        <v>116</v>
      </c>
      <c r="B1328" s="2">
        <v>45705</v>
      </c>
      <c r="C1328" s="1">
        <v>1.17</v>
      </c>
      <c r="D1328" t="s">
        <v>29</v>
      </c>
    </row>
    <row r="1329" spans="1:4" x14ac:dyDescent="0.25">
      <c r="A1329" t="s">
        <v>128</v>
      </c>
      <c r="B1329" s="2">
        <v>45695</v>
      </c>
      <c r="C1329" s="1">
        <v>6</v>
      </c>
      <c r="D1329" t="s">
        <v>29</v>
      </c>
    </row>
    <row r="1330" spans="1:4" x14ac:dyDescent="0.25">
      <c r="A1330" t="s">
        <v>119</v>
      </c>
      <c r="B1330" s="2">
        <v>45698</v>
      </c>
      <c r="C1330" s="1">
        <v>6</v>
      </c>
      <c r="D1330" t="s">
        <v>29</v>
      </c>
    </row>
    <row r="1331" spans="1:4" x14ac:dyDescent="0.25">
      <c r="A1331" t="s">
        <v>104</v>
      </c>
      <c r="B1331" s="2">
        <v>45700</v>
      </c>
      <c r="C1331" s="1">
        <v>1.45</v>
      </c>
      <c r="D1331" t="s">
        <v>29</v>
      </c>
    </row>
    <row r="1332" spans="1:4" x14ac:dyDescent="0.25">
      <c r="A1332" t="s">
        <v>68</v>
      </c>
      <c r="B1332" s="2">
        <v>45701</v>
      </c>
      <c r="C1332" s="1">
        <v>6</v>
      </c>
      <c r="D1332" t="s">
        <v>29</v>
      </c>
    </row>
    <row r="1333" spans="1:4" x14ac:dyDescent="0.25">
      <c r="A1333" t="s">
        <v>98</v>
      </c>
      <c r="B1333" s="2">
        <v>45702</v>
      </c>
      <c r="C1333" s="1">
        <v>1.83</v>
      </c>
      <c r="D1333" t="s">
        <v>29</v>
      </c>
    </row>
    <row r="1334" spans="1:4" x14ac:dyDescent="0.25">
      <c r="A1334" t="s">
        <v>147</v>
      </c>
      <c r="B1334" s="2">
        <v>45705</v>
      </c>
      <c r="C1334" s="1">
        <v>0.83</v>
      </c>
      <c r="D1334" t="s">
        <v>29</v>
      </c>
    </row>
    <row r="1335" spans="1:4" x14ac:dyDescent="0.25">
      <c r="A1335" t="s">
        <v>65</v>
      </c>
      <c r="B1335" s="2">
        <v>45713</v>
      </c>
      <c r="C1335" s="1">
        <v>6</v>
      </c>
      <c r="D1335" t="s">
        <v>29</v>
      </c>
    </row>
    <row r="1336" spans="1:4" x14ac:dyDescent="0.25">
      <c r="A1336" t="s">
        <v>118</v>
      </c>
      <c r="B1336" s="2">
        <v>45712</v>
      </c>
      <c r="C1336" s="1">
        <v>7.2</v>
      </c>
      <c r="D1336" t="s">
        <v>29</v>
      </c>
    </row>
    <row r="1337" spans="1:4" x14ac:dyDescent="0.25">
      <c r="A1337" t="s">
        <v>145</v>
      </c>
      <c r="B1337" s="2">
        <v>45692</v>
      </c>
      <c r="C1337" s="1">
        <v>0.62</v>
      </c>
      <c r="D1337" t="s">
        <v>29</v>
      </c>
    </row>
    <row r="1338" spans="1:4" x14ac:dyDescent="0.25">
      <c r="A1338" t="s">
        <v>129</v>
      </c>
      <c r="B1338" s="2">
        <v>45709</v>
      </c>
      <c r="C1338" s="1">
        <v>4</v>
      </c>
      <c r="D1338" t="s">
        <v>29</v>
      </c>
    </row>
    <row r="1339" spans="1:4" x14ac:dyDescent="0.25">
      <c r="A1339" t="s">
        <v>137</v>
      </c>
      <c r="B1339" s="2">
        <v>45715</v>
      </c>
      <c r="C1339" s="1">
        <v>4</v>
      </c>
      <c r="D1339" t="s">
        <v>29</v>
      </c>
    </row>
    <row r="1340" spans="1:4" x14ac:dyDescent="0.25">
      <c r="A1340" t="s">
        <v>110</v>
      </c>
      <c r="B1340" s="2">
        <v>45716</v>
      </c>
      <c r="C1340" s="1">
        <v>4</v>
      </c>
      <c r="D1340" t="s">
        <v>29</v>
      </c>
    </row>
    <row r="1341" spans="1:4" x14ac:dyDescent="0.25">
      <c r="A1341" t="s">
        <v>99</v>
      </c>
      <c r="B1341" s="2">
        <v>45716</v>
      </c>
      <c r="C1341" s="1">
        <v>7.6</v>
      </c>
      <c r="D1341" t="s">
        <v>29</v>
      </c>
    </row>
    <row r="1342" spans="1:4" x14ac:dyDescent="0.25">
      <c r="A1342" t="s">
        <v>144</v>
      </c>
      <c r="B1342" s="2">
        <v>45691</v>
      </c>
      <c r="C1342" s="1">
        <v>7</v>
      </c>
      <c r="D1342" t="s">
        <v>29</v>
      </c>
    </row>
    <row r="1343" spans="1:4" x14ac:dyDescent="0.25">
      <c r="A1343" t="s">
        <v>123</v>
      </c>
      <c r="B1343" s="2">
        <v>45692</v>
      </c>
      <c r="C1343" s="1">
        <v>7</v>
      </c>
      <c r="D1343" t="s">
        <v>29</v>
      </c>
    </row>
    <row r="1344" spans="1:4" x14ac:dyDescent="0.25">
      <c r="A1344" t="s">
        <v>131</v>
      </c>
      <c r="B1344" s="2">
        <v>45701</v>
      </c>
      <c r="C1344" s="1">
        <v>0.97</v>
      </c>
      <c r="D1344" t="s">
        <v>29</v>
      </c>
    </row>
    <row r="1345" spans="1:4" x14ac:dyDescent="0.25">
      <c r="A1345" t="s">
        <v>100</v>
      </c>
      <c r="B1345" s="2">
        <v>45698</v>
      </c>
      <c r="C1345" s="1">
        <v>6</v>
      </c>
      <c r="D1345" t="s">
        <v>29</v>
      </c>
    </row>
    <row r="1346" spans="1:4" x14ac:dyDescent="0.25">
      <c r="A1346" t="s">
        <v>112</v>
      </c>
      <c r="B1346" s="2">
        <v>45713</v>
      </c>
      <c r="C1346" s="1">
        <v>1.43</v>
      </c>
      <c r="D1346" t="s">
        <v>29</v>
      </c>
    </row>
    <row r="1347" spans="1:4" x14ac:dyDescent="0.25">
      <c r="A1347" t="s">
        <v>66</v>
      </c>
      <c r="B1347" s="2">
        <v>45694</v>
      </c>
      <c r="C1347" s="1">
        <v>7.2</v>
      </c>
      <c r="D1347" t="s">
        <v>29</v>
      </c>
    </row>
    <row r="1348" spans="1:4" x14ac:dyDescent="0.25">
      <c r="A1348" t="s">
        <v>98</v>
      </c>
      <c r="B1348" s="2">
        <v>45702</v>
      </c>
      <c r="C1348" s="1">
        <v>7.2</v>
      </c>
      <c r="D1348" t="s">
        <v>29</v>
      </c>
    </row>
    <row r="1349" spans="1:4" x14ac:dyDescent="0.25">
      <c r="A1349" t="s">
        <v>145</v>
      </c>
      <c r="B1349" s="2">
        <v>45713</v>
      </c>
      <c r="C1349" s="1">
        <v>7.2</v>
      </c>
      <c r="D1349" t="s">
        <v>29</v>
      </c>
    </row>
    <row r="1350" spans="1:4" x14ac:dyDescent="0.25">
      <c r="A1350" t="s">
        <v>149</v>
      </c>
      <c r="B1350" s="2">
        <v>45714</v>
      </c>
      <c r="C1350" s="1">
        <v>7.2</v>
      </c>
      <c r="D1350" t="s">
        <v>29</v>
      </c>
    </row>
    <row r="1351" spans="1:4" x14ac:dyDescent="0.25">
      <c r="A1351" t="s">
        <v>121</v>
      </c>
      <c r="B1351" s="2">
        <v>45692</v>
      </c>
      <c r="C1351" s="1">
        <v>6</v>
      </c>
      <c r="D1351" t="s">
        <v>29</v>
      </c>
    </row>
    <row r="1352" spans="1:4" x14ac:dyDescent="0.25">
      <c r="A1352" t="s">
        <v>89</v>
      </c>
      <c r="B1352" s="2">
        <v>45694</v>
      </c>
      <c r="C1352" s="1">
        <v>6</v>
      </c>
      <c r="D1352" t="s">
        <v>29</v>
      </c>
    </row>
    <row r="1353" spans="1:4" x14ac:dyDescent="0.25">
      <c r="A1353" t="s">
        <v>65</v>
      </c>
      <c r="B1353" s="2">
        <v>45701</v>
      </c>
      <c r="C1353" s="1">
        <v>6</v>
      </c>
      <c r="D1353" t="s">
        <v>29</v>
      </c>
    </row>
    <row r="1354" spans="1:4" x14ac:dyDescent="0.25">
      <c r="A1354" t="s">
        <v>139</v>
      </c>
      <c r="B1354" s="2">
        <v>45692</v>
      </c>
      <c r="C1354" s="1">
        <v>6.33</v>
      </c>
      <c r="D1354" t="s">
        <v>29</v>
      </c>
    </row>
    <row r="1355" spans="1:4" x14ac:dyDescent="0.25">
      <c r="A1355" t="s">
        <v>76</v>
      </c>
      <c r="B1355" s="2">
        <v>45714</v>
      </c>
      <c r="C1355" s="1">
        <v>6.33</v>
      </c>
      <c r="D1355" t="s">
        <v>29</v>
      </c>
    </row>
    <row r="1356" spans="1:4" x14ac:dyDescent="0.25">
      <c r="A1356" t="s">
        <v>97</v>
      </c>
      <c r="B1356" s="2">
        <v>45715</v>
      </c>
      <c r="C1356" s="1">
        <v>6.33</v>
      </c>
      <c r="D1356" t="s">
        <v>29</v>
      </c>
    </row>
    <row r="1357" spans="1:4" x14ac:dyDescent="0.25">
      <c r="A1357" t="s">
        <v>132</v>
      </c>
      <c r="B1357" s="2">
        <v>45707</v>
      </c>
      <c r="C1357" s="1">
        <v>0.38</v>
      </c>
      <c r="D1357" t="s">
        <v>29</v>
      </c>
    </row>
    <row r="1358" spans="1:4" x14ac:dyDescent="0.25">
      <c r="A1358" t="s">
        <v>89</v>
      </c>
      <c r="B1358" s="2">
        <v>45715</v>
      </c>
      <c r="C1358" s="1">
        <v>0.28000000000000003</v>
      </c>
      <c r="D1358" t="s">
        <v>29</v>
      </c>
    </row>
    <row r="1359" spans="1:4" x14ac:dyDescent="0.25">
      <c r="A1359" t="s">
        <v>133</v>
      </c>
      <c r="B1359" s="2">
        <v>45709</v>
      </c>
      <c r="C1359" s="1">
        <v>7.2</v>
      </c>
      <c r="D1359" t="s">
        <v>29</v>
      </c>
    </row>
    <row r="1360" spans="1:4" x14ac:dyDescent="0.25">
      <c r="A1360" t="s">
        <v>92</v>
      </c>
      <c r="B1360" s="2">
        <v>45695</v>
      </c>
      <c r="C1360" s="1">
        <v>7.2</v>
      </c>
      <c r="D1360" t="s">
        <v>29</v>
      </c>
    </row>
    <row r="1361" spans="1:4" x14ac:dyDescent="0.25">
      <c r="A1361" t="s">
        <v>100</v>
      </c>
      <c r="B1361" s="2">
        <v>45698</v>
      </c>
      <c r="C1361" s="1">
        <v>7.2</v>
      </c>
      <c r="D1361" t="s">
        <v>29</v>
      </c>
    </row>
    <row r="1362" spans="1:4" x14ac:dyDescent="0.25">
      <c r="A1362" t="s">
        <v>68</v>
      </c>
      <c r="B1362" s="2">
        <v>45715</v>
      </c>
      <c r="C1362" s="1">
        <v>7.2</v>
      </c>
      <c r="D1362" t="s">
        <v>29</v>
      </c>
    </row>
    <row r="1363" spans="1:4" x14ac:dyDescent="0.25">
      <c r="A1363" t="s">
        <v>141</v>
      </c>
      <c r="B1363" s="2">
        <v>45712</v>
      </c>
      <c r="C1363" s="1">
        <v>7</v>
      </c>
      <c r="D1363" t="s">
        <v>29</v>
      </c>
    </row>
    <row r="1364" spans="1:4" x14ac:dyDescent="0.25">
      <c r="A1364" t="s">
        <v>86</v>
      </c>
      <c r="B1364" s="2">
        <v>45698</v>
      </c>
      <c r="C1364" s="1">
        <v>6</v>
      </c>
      <c r="D1364" t="s">
        <v>29</v>
      </c>
    </row>
    <row r="1365" spans="1:4" x14ac:dyDescent="0.25">
      <c r="A1365" t="s">
        <v>69</v>
      </c>
      <c r="B1365" s="2">
        <v>45694</v>
      </c>
      <c r="C1365" s="1">
        <v>1</v>
      </c>
      <c r="D1365" t="s">
        <v>29</v>
      </c>
    </row>
    <row r="1366" spans="1:4" x14ac:dyDescent="0.25">
      <c r="A1366" t="s">
        <v>99</v>
      </c>
      <c r="B1366" s="2">
        <v>45691</v>
      </c>
      <c r="C1366" s="1">
        <v>2</v>
      </c>
      <c r="D1366" t="s">
        <v>29</v>
      </c>
    </row>
    <row r="1367" spans="1:4" x14ac:dyDescent="0.25">
      <c r="A1367" t="s">
        <v>88</v>
      </c>
      <c r="B1367" s="2">
        <v>45692</v>
      </c>
      <c r="C1367" s="1">
        <v>1.82</v>
      </c>
      <c r="D1367" t="s">
        <v>29</v>
      </c>
    </row>
    <row r="1368" spans="1:4" x14ac:dyDescent="0.25">
      <c r="A1368" t="s">
        <v>68</v>
      </c>
      <c r="B1368" s="2">
        <v>45694</v>
      </c>
      <c r="C1368" s="1">
        <v>1.92</v>
      </c>
      <c r="D1368" t="s">
        <v>29</v>
      </c>
    </row>
    <row r="1369" spans="1:4" x14ac:dyDescent="0.25">
      <c r="A1369" t="s">
        <v>146</v>
      </c>
      <c r="B1369" s="2">
        <v>45695</v>
      </c>
      <c r="C1369" s="1">
        <v>1.9</v>
      </c>
      <c r="D1369" t="s">
        <v>29</v>
      </c>
    </row>
    <row r="1370" spans="1:4" x14ac:dyDescent="0.25">
      <c r="A1370" t="s">
        <v>65</v>
      </c>
      <c r="B1370" s="2">
        <v>45701</v>
      </c>
      <c r="C1370" s="1">
        <v>6</v>
      </c>
      <c r="D1370" t="s">
        <v>29</v>
      </c>
    </row>
    <row r="1371" spans="1:4" x14ac:dyDescent="0.25">
      <c r="A1371" t="s">
        <v>132</v>
      </c>
      <c r="B1371" s="2">
        <v>45702</v>
      </c>
      <c r="C1371" s="1">
        <v>6</v>
      </c>
      <c r="D1371" t="s">
        <v>29</v>
      </c>
    </row>
    <row r="1372" spans="1:4" x14ac:dyDescent="0.25">
      <c r="A1372" t="s">
        <v>93</v>
      </c>
      <c r="B1372" s="2">
        <v>45698</v>
      </c>
      <c r="C1372" s="1">
        <v>0.83</v>
      </c>
      <c r="D1372" t="s">
        <v>29</v>
      </c>
    </row>
    <row r="1373" spans="1:4" x14ac:dyDescent="0.25">
      <c r="A1373" t="s">
        <v>69</v>
      </c>
      <c r="B1373" s="2">
        <v>45698</v>
      </c>
      <c r="C1373" s="1">
        <v>7.2</v>
      </c>
      <c r="D1373" t="s">
        <v>29</v>
      </c>
    </row>
    <row r="1374" spans="1:4" x14ac:dyDescent="0.25">
      <c r="A1374" t="s">
        <v>95</v>
      </c>
      <c r="B1374" s="2">
        <v>45699</v>
      </c>
      <c r="C1374" s="1">
        <v>7.2</v>
      </c>
      <c r="D1374" t="s">
        <v>29</v>
      </c>
    </row>
    <row r="1375" spans="1:4" x14ac:dyDescent="0.25">
      <c r="A1375" t="s">
        <v>65</v>
      </c>
      <c r="B1375" s="2">
        <v>45700</v>
      </c>
      <c r="C1375" s="1">
        <v>7.2</v>
      </c>
      <c r="D1375" t="s">
        <v>29</v>
      </c>
    </row>
    <row r="1376" spans="1:4" x14ac:dyDescent="0.25">
      <c r="A1376" t="s">
        <v>144</v>
      </c>
      <c r="B1376" s="2">
        <v>45714</v>
      </c>
      <c r="C1376" s="1">
        <v>0.33</v>
      </c>
      <c r="D1376" t="s">
        <v>29</v>
      </c>
    </row>
    <row r="1377" spans="1:4" x14ac:dyDescent="0.25">
      <c r="A1377" t="s">
        <v>68</v>
      </c>
      <c r="B1377" s="2">
        <v>45691</v>
      </c>
      <c r="C1377" s="1">
        <v>0.8</v>
      </c>
      <c r="D1377" t="s">
        <v>29</v>
      </c>
    </row>
    <row r="1378" spans="1:4" x14ac:dyDescent="0.25">
      <c r="A1378" t="s">
        <v>76</v>
      </c>
      <c r="B1378" s="2">
        <v>45706</v>
      </c>
      <c r="C1378" s="1">
        <v>7.2</v>
      </c>
      <c r="D1378" t="s">
        <v>29</v>
      </c>
    </row>
    <row r="1379" spans="1:4" x14ac:dyDescent="0.25">
      <c r="A1379" t="s">
        <v>140</v>
      </c>
      <c r="B1379" s="2">
        <v>45716</v>
      </c>
      <c r="C1379" s="1">
        <v>7.2</v>
      </c>
      <c r="D1379" t="s">
        <v>29</v>
      </c>
    </row>
    <row r="1380" spans="1:4" x14ac:dyDescent="0.25">
      <c r="A1380" t="s">
        <v>141</v>
      </c>
      <c r="B1380" s="2">
        <v>45692</v>
      </c>
      <c r="C1380" s="1">
        <v>1</v>
      </c>
      <c r="D1380" t="s">
        <v>29</v>
      </c>
    </row>
    <row r="1381" spans="1:4" x14ac:dyDescent="0.25">
      <c r="A1381" t="s">
        <v>113</v>
      </c>
      <c r="B1381" s="2">
        <v>45700</v>
      </c>
      <c r="C1381" s="1">
        <v>0.95</v>
      </c>
      <c r="D1381" t="s">
        <v>29</v>
      </c>
    </row>
    <row r="1382" spans="1:4" x14ac:dyDescent="0.25">
      <c r="A1382" t="s">
        <v>101</v>
      </c>
      <c r="B1382" s="2">
        <v>45712</v>
      </c>
      <c r="C1382" s="1">
        <v>0.95</v>
      </c>
      <c r="D1382" t="s">
        <v>29</v>
      </c>
    </row>
    <row r="1383" spans="1:4" x14ac:dyDescent="0.25">
      <c r="A1383" t="s">
        <v>98</v>
      </c>
      <c r="B1383" s="2">
        <v>45707</v>
      </c>
      <c r="C1383" s="1">
        <v>7.2</v>
      </c>
      <c r="D1383" t="s">
        <v>29</v>
      </c>
    </row>
    <row r="1384" spans="1:4" x14ac:dyDescent="0.25">
      <c r="A1384" t="s">
        <v>126</v>
      </c>
      <c r="B1384" s="2">
        <v>45708</v>
      </c>
      <c r="C1384" s="1">
        <v>7.2</v>
      </c>
      <c r="D1384" t="s">
        <v>29</v>
      </c>
    </row>
    <row r="1385" spans="1:4" x14ac:dyDescent="0.25">
      <c r="A1385" t="s">
        <v>102</v>
      </c>
      <c r="B1385" s="2">
        <v>45709</v>
      </c>
      <c r="C1385" s="1">
        <v>7.2</v>
      </c>
      <c r="D1385" t="s">
        <v>29</v>
      </c>
    </row>
    <row r="1386" spans="1:4" x14ac:dyDescent="0.25">
      <c r="A1386" t="s">
        <v>117</v>
      </c>
      <c r="B1386" s="2">
        <v>45694</v>
      </c>
      <c r="C1386" s="1">
        <v>6</v>
      </c>
      <c r="D1386" t="s">
        <v>29</v>
      </c>
    </row>
    <row r="1387" spans="1:4" x14ac:dyDescent="0.25">
      <c r="A1387" t="s">
        <v>76</v>
      </c>
      <c r="B1387" s="2">
        <v>45695</v>
      </c>
      <c r="C1387" s="1">
        <v>6</v>
      </c>
      <c r="D1387" t="s">
        <v>29</v>
      </c>
    </row>
    <row r="1388" spans="1:4" x14ac:dyDescent="0.25">
      <c r="A1388" t="s">
        <v>80</v>
      </c>
      <c r="B1388" s="2">
        <v>45702</v>
      </c>
      <c r="C1388" s="1">
        <v>7.2</v>
      </c>
      <c r="D1388" t="s">
        <v>29</v>
      </c>
    </row>
    <row r="1389" spans="1:4" x14ac:dyDescent="0.25">
      <c r="A1389" t="s">
        <v>88</v>
      </c>
      <c r="B1389" s="2">
        <v>45708</v>
      </c>
      <c r="C1389" s="1">
        <v>7.2</v>
      </c>
      <c r="D1389" t="s">
        <v>29</v>
      </c>
    </row>
    <row r="1390" spans="1:4" x14ac:dyDescent="0.25">
      <c r="A1390" t="s">
        <v>128</v>
      </c>
      <c r="B1390" s="2">
        <v>45709</v>
      </c>
      <c r="C1390" s="1">
        <v>7.2</v>
      </c>
      <c r="D1390" t="s">
        <v>29</v>
      </c>
    </row>
    <row r="1391" spans="1:4" x14ac:dyDescent="0.25">
      <c r="A1391" t="s">
        <v>141</v>
      </c>
      <c r="B1391" s="2">
        <v>45712</v>
      </c>
      <c r="C1391" s="1">
        <v>7.2</v>
      </c>
      <c r="D1391" t="s">
        <v>29</v>
      </c>
    </row>
    <row r="1392" spans="1:4" x14ac:dyDescent="0.25">
      <c r="A1392" t="s">
        <v>117</v>
      </c>
      <c r="B1392" s="2">
        <v>45694</v>
      </c>
      <c r="C1392" s="1">
        <v>0.47</v>
      </c>
      <c r="D1392" t="s">
        <v>29</v>
      </c>
    </row>
    <row r="1393" spans="1:4" x14ac:dyDescent="0.25">
      <c r="A1393" t="s">
        <v>100</v>
      </c>
      <c r="B1393" s="2">
        <v>45695</v>
      </c>
      <c r="C1393" s="1">
        <v>0.82</v>
      </c>
      <c r="D1393" t="s">
        <v>29</v>
      </c>
    </row>
    <row r="1394" spans="1:4" x14ac:dyDescent="0.25">
      <c r="A1394" t="s">
        <v>101</v>
      </c>
      <c r="B1394" s="2">
        <v>45698</v>
      </c>
      <c r="C1394" s="1">
        <v>0.4</v>
      </c>
      <c r="D1394" t="s">
        <v>29</v>
      </c>
    </row>
    <row r="1395" spans="1:4" x14ac:dyDescent="0.25">
      <c r="A1395" t="s">
        <v>85</v>
      </c>
      <c r="B1395" s="2">
        <v>45705</v>
      </c>
      <c r="C1395" s="1">
        <v>1</v>
      </c>
      <c r="D1395" t="s">
        <v>29</v>
      </c>
    </row>
    <row r="1396" spans="1:4" x14ac:dyDescent="0.25">
      <c r="A1396" t="s">
        <v>94</v>
      </c>
      <c r="B1396" s="2">
        <v>45706</v>
      </c>
      <c r="C1396" s="1">
        <v>1.2</v>
      </c>
      <c r="D1396" t="s">
        <v>29</v>
      </c>
    </row>
    <row r="1397" spans="1:4" x14ac:dyDescent="0.25">
      <c r="A1397" t="s">
        <v>139</v>
      </c>
      <c r="B1397" s="2">
        <v>45709</v>
      </c>
      <c r="C1397" s="1">
        <v>7.2</v>
      </c>
      <c r="D1397" t="s">
        <v>29</v>
      </c>
    </row>
    <row r="1398" spans="1:4" x14ac:dyDescent="0.25">
      <c r="A1398" t="s">
        <v>136</v>
      </c>
      <c r="B1398" s="2">
        <v>45716</v>
      </c>
      <c r="C1398" s="1">
        <v>1.2</v>
      </c>
      <c r="D1398" t="s">
        <v>29</v>
      </c>
    </row>
    <row r="1399" spans="1:4" x14ac:dyDescent="0.25">
      <c r="A1399" t="s">
        <v>137</v>
      </c>
      <c r="B1399" s="2">
        <v>45716</v>
      </c>
      <c r="C1399" s="1">
        <v>6</v>
      </c>
      <c r="D1399" t="s">
        <v>29</v>
      </c>
    </row>
    <row r="1400" spans="1:4" x14ac:dyDescent="0.25">
      <c r="A1400" t="s">
        <v>96</v>
      </c>
      <c r="B1400" s="2">
        <v>45698</v>
      </c>
      <c r="C1400" s="1">
        <v>7.2</v>
      </c>
      <c r="D1400" t="s">
        <v>29</v>
      </c>
    </row>
    <row r="1401" spans="1:4" x14ac:dyDescent="0.25">
      <c r="A1401" t="s">
        <v>93</v>
      </c>
      <c r="B1401" s="2">
        <v>45699</v>
      </c>
      <c r="C1401" s="1">
        <v>7.2</v>
      </c>
      <c r="D1401" t="s">
        <v>29</v>
      </c>
    </row>
    <row r="1402" spans="1:4" x14ac:dyDescent="0.25">
      <c r="A1402" t="s">
        <v>83</v>
      </c>
      <c r="B1402" s="2">
        <v>45700</v>
      </c>
      <c r="C1402" s="1">
        <v>7.2</v>
      </c>
      <c r="D1402" t="s">
        <v>29</v>
      </c>
    </row>
    <row r="1403" spans="1:4" x14ac:dyDescent="0.25">
      <c r="A1403" t="s">
        <v>76</v>
      </c>
      <c r="B1403" s="2">
        <v>45701</v>
      </c>
      <c r="C1403" s="1">
        <v>7.2</v>
      </c>
      <c r="D1403" t="s">
        <v>29</v>
      </c>
    </row>
    <row r="1404" spans="1:4" x14ac:dyDescent="0.25">
      <c r="A1404" t="s">
        <v>135</v>
      </c>
      <c r="B1404" s="2">
        <v>45702</v>
      </c>
      <c r="C1404" s="1">
        <v>7.2</v>
      </c>
      <c r="D1404" t="s">
        <v>29</v>
      </c>
    </row>
    <row r="1405" spans="1:4" x14ac:dyDescent="0.25">
      <c r="A1405" t="s">
        <v>77</v>
      </c>
      <c r="B1405" s="2">
        <v>45693</v>
      </c>
      <c r="C1405" s="1">
        <v>1.03</v>
      </c>
      <c r="D1405" t="s">
        <v>29</v>
      </c>
    </row>
    <row r="1406" spans="1:4" x14ac:dyDescent="0.25">
      <c r="A1406" t="s">
        <v>113</v>
      </c>
      <c r="B1406" s="2">
        <v>45698</v>
      </c>
      <c r="C1406" s="1">
        <v>6</v>
      </c>
      <c r="D1406" t="s">
        <v>29</v>
      </c>
    </row>
    <row r="1407" spans="1:4" x14ac:dyDescent="0.25">
      <c r="A1407" t="s">
        <v>129</v>
      </c>
      <c r="B1407" s="2">
        <v>45699</v>
      </c>
      <c r="C1407" s="1">
        <v>6</v>
      </c>
      <c r="D1407" t="s">
        <v>29</v>
      </c>
    </row>
    <row r="1408" spans="1:4" x14ac:dyDescent="0.25">
      <c r="A1408" t="s">
        <v>80</v>
      </c>
      <c r="B1408" s="2">
        <v>45700</v>
      </c>
      <c r="C1408" s="1">
        <v>6</v>
      </c>
      <c r="D1408" t="s">
        <v>29</v>
      </c>
    </row>
    <row r="1409" spans="1:4" x14ac:dyDescent="0.25">
      <c r="A1409" t="s">
        <v>76</v>
      </c>
      <c r="B1409" s="2">
        <v>45701</v>
      </c>
      <c r="C1409" s="1">
        <v>6</v>
      </c>
      <c r="D1409" t="s">
        <v>29</v>
      </c>
    </row>
    <row r="1410" spans="1:4" x14ac:dyDescent="0.25">
      <c r="A1410" t="s">
        <v>82</v>
      </c>
      <c r="B1410" s="2">
        <v>45702</v>
      </c>
      <c r="C1410" s="1">
        <v>6</v>
      </c>
      <c r="D1410" t="s">
        <v>29</v>
      </c>
    </row>
    <row r="1411" spans="1:4" x14ac:dyDescent="0.25">
      <c r="A1411" t="s">
        <v>119</v>
      </c>
      <c r="B1411" s="2">
        <v>45703</v>
      </c>
      <c r="C1411" s="1">
        <v>6</v>
      </c>
      <c r="D1411" t="s">
        <v>29</v>
      </c>
    </row>
    <row r="1412" spans="1:4" x14ac:dyDescent="0.25">
      <c r="A1412" t="s">
        <v>116</v>
      </c>
      <c r="B1412" s="2">
        <v>45705</v>
      </c>
      <c r="C1412" s="1">
        <v>6</v>
      </c>
      <c r="D1412" t="s">
        <v>29</v>
      </c>
    </row>
    <row r="1413" spans="1:4" x14ac:dyDescent="0.25">
      <c r="A1413" t="s">
        <v>147</v>
      </c>
      <c r="B1413" s="2">
        <v>45706</v>
      </c>
      <c r="C1413" s="1">
        <v>6</v>
      </c>
      <c r="D1413" t="s">
        <v>29</v>
      </c>
    </row>
    <row r="1414" spans="1:4" x14ac:dyDescent="0.25">
      <c r="A1414" t="s">
        <v>104</v>
      </c>
      <c r="B1414" s="2">
        <v>45707</v>
      </c>
      <c r="C1414" s="1">
        <v>6</v>
      </c>
      <c r="D1414" t="s">
        <v>29</v>
      </c>
    </row>
    <row r="1415" spans="1:4" x14ac:dyDescent="0.25">
      <c r="A1415" t="s">
        <v>78</v>
      </c>
      <c r="B1415" s="2">
        <v>45712</v>
      </c>
      <c r="C1415" s="1">
        <v>7</v>
      </c>
      <c r="D1415" t="s">
        <v>29</v>
      </c>
    </row>
    <row r="1416" spans="1:4" x14ac:dyDescent="0.25">
      <c r="A1416" t="s">
        <v>89</v>
      </c>
      <c r="B1416" s="2">
        <v>45694</v>
      </c>
      <c r="C1416" s="1">
        <v>6.32</v>
      </c>
      <c r="D1416" t="s">
        <v>29</v>
      </c>
    </row>
    <row r="1417" spans="1:4" x14ac:dyDescent="0.25">
      <c r="A1417" t="s">
        <v>99</v>
      </c>
      <c r="B1417" s="2">
        <v>45695</v>
      </c>
      <c r="C1417" s="1">
        <v>6.32</v>
      </c>
      <c r="D1417" t="s">
        <v>29</v>
      </c>
    </row>
    <row r="1418" spans="1:4" x14ac:dyDescent="0.25">
      <c r="A1418" t="s">
        <v>107</v>
      </c>
      <c r="B1418" s="2">
        <v>45700</v>
      </c>
      <c r="C1418" s="1">
        <v>0.72</v>
      </c>
      <c r="D1418" t="s">
        <v>29</v>
      </c>
    </row>
    <row r="1419" spans="1:4" x14ac:dyDescent="0.25">
      <c r="A1419" t="s">
        <v>72</v>
      </c>
      <c r="B1419" s="2">
        <v>45702</v>
      </c>
      <c r="C1419" s="1">
        <v>0.98</v>
      </c>
      <c r="D1419" t="s">
        <v>29</v>
      </c>
    </row>
    <row r="1420" spans="1:4" x14ac:dyDescent="0.25">
      <c r="A1420" t="s">
        <v>134</v>
      </c>
      <c r="B1420" s="2">
        <v>45709</v>
      </c>
      <c r="C1420" s="1">
        <v>2.08</v>
      </c>
      <c r="D1420" t="s">
        <v>29</v>
      </c>
    </row>
    <row r="1421" spans="1:4" x14ac:dyDescent="0.25">
      <c r="A1421" t="s">
        <v>95</v>
      </c>
      <c r="B1421" s="2">
        <v>45691</v>
      </c>
      <c r="C1421" s="1">
        <v>7.2</v>
      </c>
      <c r="D1421" t="s">
        <v>29</v>
      </c>
    </row>
    <row r="1422" spans="1:4" x14ac:dyDescent="0.25">
      <c r="A1422" t="s">
        <v>144</v>
      </c>
      <c r="B1422" s="2">
        <v>45692</v>
      </c>
      <c r="C1422" s="1">
        <v>7.2</v>
      </c>
      <c r="D1422" t="s">
        <v>29</v>
      </c>
    </row>
    <row r="1423" spans="1:4" x14ac:dyDescent="0.25">
      <c r="A1423" t="s">
        <v>107</v>
      </c>
      <c r="B1423" s="2">
        <v>45695</v>
      </c>
      <c r="C1423" s="1">
        <v>6</v>
      </c>
      <c r="D1423" t="s">
        <v>29</v>
      </c>
    </row>
    <row r="1424" spans="1:4" x14ac:dyDescent="0.25">
      <c r="A1424" t="s">
        <v>72</v>
      </c>
      <c r="B1424" s="2">
        <v>45696</v>
      </c>
      <c r="C1424" s="1">
        <v>6</v>
      </c>
      <c r="D1424" t="s">
        <v>29</v>
      </c>
    </row>
    <row r="1425" spans="1:4" x14ac:dyDescent="0.25">
      <c r="A1425" t="s">
        <v>97</v>
      </c>
      <c r="B1425" s="2">
        <v>45708</v>
      </c>
      <c r="C1425" s="1">
        <v>3</v>
      </c>
      <c r="D1425" t="s">
        <v>29</v>
      </c>
    </row>
    <row r="1426" spans="1:4" x14ac:dyDescent="0.25">
      <c r="A1426" t="s">
        <v>129</v>
      </c>
      <c r="B1426" s="2">
        <v>45699</v>
      </c>
      <c r="C1426" s="1">
        <v>0.38</v>
      </c>
      <c r="D1426" t="s">
        <v>29</v>
      </c>
    </row>
    <row r="1427" spans="1:4" x14ac:dyDescent="0.25">
      <c r="A1427" t="s">
        <v>147</v>
      </c>
      <c r="B1427" s="2">
        <v>45691</v>
      </c>
      <c r="C1427" s="1">
        <v>0.52</v>
      </c>
      <c r="D1427" t="s">
        <v>29</v>
      </c>
    </row>
    <row r="1428" spans="1:4" x14ac:dyDescent="0.25">
      <c r="A1428" t="s">
        <v>100</v>
      </c>
      <c r="B1428" s="2">
        <v>45692</v>
      </c>
      <c r="C1428" s="1">
        <v>1</v>
      </c>
      <c r="D1428" t="s">
        <v>29</v>
      </c>
    </row>
    <row r="1429" spans="1:4" x14ac:dyDescent="0.25">
      <c r="A1429" t="s">
        <v>84</v>
      </c>
      <c r="B1429" s="2">
        <v>45695</v>
      </c>
      <c r="C1429" s="1">
        <v>1.1000000000000001</v>
      </c>
      <c r="D1429" t="s">
        <v>29</v>
      </c>
    </row>
    <row r="1430" spans="1:4" x14ac:dyDescent="0.25">
      <c r="A1430" t="s">
        <v>106</v>
      </c>
      <c r="B1430" s="2">
        <v>45698</v>
      </c>
      <c r="C1430" s="1">
        <v>0.25</v>
      </c>
      <c r="D1430" t="s">
        <v>29</v>
      </c>
    </row>
    <row r="1431" spans="1:4" x14ac:dyDescent="0.25">
      <c r="A1431" t="s">
        <v>68</v>
      </c>
      <c r="B1431" s="2">
        <v>45707</v>
      </c>
      <c r="C1431" s="1">
        <v>0.93</v>
      </c>
      <c r="D1431" t="s">
        <v>29</v>
      </c>
    </row>
    <row r="1432" spans="1:4" x14ac:dyDescent="0.25">
      <c r="A1432" t="s">
        <v>66</v>
      </c>
      <c r="B1432" s="2">
        <v>45709</v>
      </c>
      <c r="C1432" s="1">
        <v>0.92</v>
      </c>
      <c r="D1432" t="s">
        <v>29</v>
      </c>
    </row>
    <row r="1433" spans="1:4" x14ac:dyDescent="0.25">
      <c r="A1433" t="s">
        <v>68</v>
      </c>
      <c r="B1433" s="2">
        <v>45712</v>
      </c>
      <c r="C1433" s="1">
        <v>7.6</v>
      </c>
      <c r="D1433" t="s">
        <v>29</v>
      </c>
    </row>
    <row r="1434" spans="1:4" x14ac:dyDescent="0.25">
      <c r="A1434" t="s">
        <v>112</v>
      </c>
      <c r="B1434" s="2">
        <v>45713</v>
      </c>
      <c r="C1434" s="1">
        <v>0.4</v>
      </c>
      <c r="D1434" t="s">
        <v>29</v>
      </c>
    </row>
    <row r="1435" spans="1:4" x14ac:dyDescent="0.25">
      <c r="A1435" t="s">
        <v>76</v>
      </c>
      <c r="B1435" s="2">
        <v>45716</v>
      </c>
      <c r="C1435" s="1">
        <v>0.9</v>
      </c>
      <c r="D1435" t="s">
        <v>29</v>
      </c>
    </row>
    <row r="1436" spans="1:4" x14ac:dyDescent="0.25">
      <c r="A1436" t="s">
        <v>144</v>
      </c>
      <c r="B1436" s="2">
        <v>45709</v>
      </c>
      <c r="C1436" s="1">
        <v>7.2</v>
      </c>
      <c r="D1436" t="s">
        <v>29</v>
      </c>
    </row>
    <row r="1437" spans="1:4" x14ac:dyDescent="0.25">
      <c r="A1437" t="s">
        <v>115</v>
      </c>
      <c r="B1437" s="2">
        <v>45696</v>
      </c>
      <c r="C1437" s="1">
        <v>6</v>
      </c>
      <c r="D1437" t="s">
        <v>29</v>
      </c>
    </row>
    <row r="1438" spans="1:4" x14ac:dyDescent="0.25">
      <c r="A1438" t="s">
        <v>136</v>
      </c>
      <c r="B1438" s="2">
        <v>45702</v>
      </c>
      <c r="C1438" s="1">
        <v>1</v>
      </c>
      <c r="D1438" t="s">
        <v>29</v>
      </c>
    </row>
    <row r="1439" spans="1:4" x14ac:dyDescent="0.25">
      <c r="A1439" t="s">
        <v>129</v>
      </c>
      <c r="B1439" s="2">
        <v>45714</v>
      </c>
      <c r="C1439" s="1">
        <v>0.92</v>
      </c>
      <c r="D1439" t="s">
        <v>29</v>
      </c>
    </row>
    <row r="1440" spans="1:4" x14ac:dyDescent="0.25">
      <c r="A1440" t="s">
        <v>84</v>
      </c>
      <c r="B1440" s="2">
        <v>45713</v>
      </c>
      <c r="C1440" s="1">
        <v>6</v>
      </c>
      <c r="D1440" t="s">
        <v>29</v>
      </c>
    </row>
    <row r="1441" spans="1:4" x14ac:dyDescent="0.25">
      <c r="A1441" t="s">
        <v>126</v>
      </c>
      <c r="B1441" s="2">
        <v>45709</v>
      </c>
      <c r="C1441" s="1">
        <v>0.8</v>
      </c>
      <c r="D1441" t="s">
        <v>29</v>
      </c>
    </row>
    <row r="1442" spans="1:4" x14ac:dyDescent="0.25">
      <c r="A1442" t="s">
        <v>105</v>
      </c>
      <c r="B1442" s="2">
        <v>45716</v>
      </c>
      <c r="C1442" s="1">
        <v>0.8</v>
      </c>
      <c r="D1442" t="s">
        <v>29</v>
      </c>
    </row>
    <row r="1443" spans="1:4" x14ac:dyDescent="0.25">
      <c r="A1443" t="s">
        <v>94</v>
      </c>
      <c r="B1443" s="2">
        <v>45695</v>
      </c>
      <c r="C1443" s="1">
        <v>2.5499999999999998</v>
      </c>
      <c r="D1443" t="s">
        <v>29</v>
      </c>
    </row>
    <row r="1444" spans="1:4" x14ac:dyDescent="0.25">
      <c r="A1444" t="s">
        <v>99</v>
      </c>
      <c r="B1444" s="2">
        <v>45716</v>
      </c>
      <c r="C1444" s="1">
        <v>1.42</v>
      </c>
      <c r="D1444" t="s">
        <v>29</v>
      </c>
    </row>
    <row r="1445" spans="1:4" x14ac:dyDescent="0.25">
      <c r="A1445" t="s">
        <v>98</v>
      </c>
      <c r="B1445" s="2">
        <v>45709</v>
      </c>
      <c r="C1445" s="1">
        <v>2.3199999999999998</v>
      </c>
      <c r="D1445" t="s">
        <v>29</v>
      </c>
    </row>
    <row r="1446" spans="1:4" x14ac:dyDescent="0.25">
      <c r="A1446" t="s">
        <v>97</v>
      </c>
      <c r="B1446" s="2">
        <v>45716</v>
      </c>
      <c r="C1446" s="1">
        <v>0.45</v>
      </c>
      <c r="D1446" t="s">
        <v>29</v>
      </c>
    </row>
    <row r="1447" spans="1:4" x14ac:dyDescent="0.25">
      <c r="A1447" t="s">
        <v>118</v>
      </c>
      <c r="B1447" s="2">
        <v>45692</v>
      </c>
      <c r="C1447" s="1">
        <v>7.2</v>
      </c>
      <c r="D1447" t="s">
        <v>29</v>
      </c>
    </row>
    <row r="1448" spans="1:4" x14ac:dyDescent="0.25">
      <c r="A1448" t="s">
        <v>102</v>
      </c>
      <c r="B1448" s="2">
        <v>45694</v>
      </c>
      <c r="C1448" s="1">
        <v>7.2</v>
      </c>
      <c r="D1448" t="s">
        <v>29</v>
      </c>
    </row>
    <row r="1449" spans="1:4" x14ac:dyDescent="0.25">
      <c r="A1449" t="s">
        <v>141</v>
      </c>
      <c r="B1449" s="2">
        <v>45695</v>
      </c>
      <c r="C1449" s="1">
        <v>7.2</v>
      </c>
      <c r="D1449" t="s">
        <v>29</v>
      </c>
    </row>
    <row r="1450" spans="1:4" x14ac:dyDescent="0.25">
      <c r="A1450" t="s">
        <v>81</v>
      </c>
      <c r="B1450" s="2">
        <v>45713</v>
      </c>
      <c r="C1450" s="1">
        <v>6</v>
      </c>
      <c r="D1450" t="s">
        <v>29</v>
      </c>
    </row>
    <row r="1451" spans="1:4" x14ac:dyDescent="0.25">
      <c r="A1451" t="s">
        <v>75</v>
      </c>
      <c r="B1451" s="2">
        <v>45714</v>
      </c>
      <c r="C1451" s="1">
        <v>6</v>
      </c>
      <c r="D1451" t="s">
        <v>29</v>
      </c>
    </row>
    <row r="1452" spans="1:4" x14ac:dyDescent="0.25">
      <c r="A1452" t="s">
        <v>67</v>
      </c>
      <c r="B1452" s="2">
        <v>45702</v>
      </c>
      <c r="C1452" s="1">
        <v>6</v>
      </c>
      <c r="D1452" t="s">
        <v>29</v>
      </c>
    </row>
    <row r="1453" spans="1:4" x14ac:dyDescent="0.25">
      <c r="A1453" t="s">
        <v>82</v>
      </c>
      <c r="B1453" s="2">
        <v>45695</v>
      </c>
      <c r="C1453" s="1">
        <v>7.2</v>
      </c>
      <c r="D1453" t="s">
        <v>29</v>
      </c>
    </row>
    <row r="1454" spans="1:4" x14ac:dyDescent="0.25">
      <c r="A1454" t="s">
        <v>126</v>
      </c>
      <c r="B1454" s="2">
        <v>45698</v>
      </c>
      <c r="C1454" s="1">
        <v>0.45</v>
      </c>
      <c r="D1454" t="s">
        <v>29</v>
      </c>
    </row>
    <row r="1455" spans="1:4" x14ac:dyDescent="0.25">
      <c r="A1455" t="s">
        <v>119</v>
      </c>
      <c r="B1455" s="2">
        <v>45708</v>
      </c>
      <c r="C1455" s="1">
        <v>1.08</v>
      </c>
      <c r="D1455" t="s">
        <v>29</v>
      </c>
    </row>
    <row r="1456" spans="1:4" x14ac:dyDescent="0.25">
      <c r="A1456" t="s">
        <v>124</v>
      </c>
      <c r="B1456" s="2">
        <v>45716</v>
      </c>
      <c r="C1456" s="1">
        <v>7.2</v>
      </c>
      <c r="D1456" t="s">
        <v>29</v>
      </c>
    </row>
    <row r="1457" spans="1:4" x14ac:dyDescent="0.25">
      <c r="A1457" t="s">
        <v>139</v>
      </c>
      <c r="B1457" s="2">
        <v>45705</v>
      </c>
      <c r="C1457" s="1">
        <v>6</v>
      </c>
      <c r="D1457" t="s">
        <v>29</v>
      </c>
    </row>
    <row r="1458" spans="1:4" x14ac:dyDescent="0.25">
      <c r="A1458" t="s">
        <v>76</v>
      </c>
      <c r="B1458" s="2">
        <v>45706</v>
      </c>
      <c r="C1458" s="1">
        <v>6</v>
      </c>
      <c r="D1458" t="s">
        <v>29</v>
      </c>
    </row>
    <row r="1459" spans="1:4" x14ac:dyDescent="0.25">
      <c r="A1459" t="s">
        <v>113</v>
      </c>
      <c r="B1459" s="2">
        <v>45715</v>
      </c>
      <c r="C1459" s="1">
        <v>7</v>
      </c>
      <c r="D1459" t="s">
        <v>29</v>
      </c>
    </row>
    <row r="1460" spans="1:4" x14ac:dyDescent="0.25">
      <c r="A1460" t="s">
        <v>145</v>
      </c>
      <c r="B1460" s="2">
        <v>45691</v>
      </c>
      <c r="C1460" s="1">
        <v>2.2000000000000002</v>
      </c>
      <c r="D1460" t="s">
        <v>29</v>
      </c>
    </row>
    <row r="1461" spans="1:4" x14ac:dyDescent="0.25">
      <c r="A1461" t="s">
        <v>139</v>
      </c>
      <c r="B1461" s="2">
        <v>45701</v>
      </c>
      <c r="C1461" s="1">
        <v>0.98</v>
      </c>
      <c r="D1461" t="s">
        <v>29</v>
      </c>
    </row>
    <row r="1462" spans="1:4" x14ac:dyDescent="0.25">
      <c r="A1462" t="s">
        <v>66</v>
      </c>
      <c r="B1462" s="2">
        <v>45715</v>
      </c>
      <c r="C1462" s="1">
        <v>0.8</v>
      </c>
      <c r="D1462" t="s">
        <v>29</v>
      </c>
    </row>
    <row r="1463" spans="1:4" x14ac:dyDescent="0.25">
      <c r="A1463" t="s">
        <v>71</v>
      </c>
      <c r="B1463" s="2">
        <v>45692</v>
      </c>
      <c r="C1463" s="1">
        <v>7.2</v>
      </c>
      <c r="D1463" t="s">
        <v>29</v>
      </c>
    </row>
    <row r="1464" spans="1:4" x14ac:dyDescent="0.25">
      <c r="A1464" t="s">
        <v>109</v>
      </c>
      <c r="B1464" s="2">
        <v>45698</v>
      </c>
      <c r="C1464" s="1">
        <v>0.56999999999999995</v>
      </c>
      <c r="D1464" t="s">
        <v>29</v>
      </c>
    </row>
    <row r="1465" spans="1:4" x14ac:dyDescent="0.25">
      <c r="A1465" t="s">
        <v>91</v>
      </c>
      <c r="B1465" s="2">
        <v>45700</v>
      </c>
      <c r="C1465" s="1">
        <v>0.67</v>
      </c>
      <c r="D1465" t="s">
        <v>29</v>
      </c>
    </row>
    <row r="1466" spans="1:4" x14ac:dyDescent="0.25">
      <c r="A1466" t="s">
        <v>141</v>
      </c>
      <c r="B1466" s="2">
        <v>45705</v>
      </c>
      <c r="C1466" s="1">
        <v>7.2</v>
      </c>
      <c r="D1466" t="s">
        <v>29</v>
      </c>
    </row>
    <row r="1467" spans="1:4" x14ac:dyDescent="0.25">
      <c r="A1467" t="s">
        <v>126</v>
      </c>
      <c r="B1467" s="2">
        <v>45707</v>
      </c>
      <c r="C1467" s="1">
        <v>7.2</v>
      </c>
      <c r="D1467" t="s">
        <v>29</v>
      </c>
    </row>
    <row r="1468" spans="1:4" x14ac:dyDescent="0.25">
      <c r="A1468" t="s">
        <v>78</v>
      </c>
      <c r="B1468" s="2">
        <v>45692</v>
      </c>
      <c r="C1468" s="1">
        <v>6</v>
      </c>
      <c r="D1468" t="s">
        <v>29</v>
      </c>
    </row>
    <row r="1469" spans="1:4" x14ac:dyDescent="0.25">
      <c r="A1469" t="s">
        <v>128</v>
      </c>
      <c r="B1469" s="2">
        <v>45694</v>
      </c>
      <c r="C1469" s="1">
        <v>2.0499999999999998</v>
      </c>
      <c r="D1469" t="s">
        <v>29</v>
      </c>
    </row>
    <row r="1470" spans="1:4" x14ac:dyDescent="0.25">
      <c r="A1470" t="s">
        <v>88</v>
      </c>
      <c r="B1470" s="2">
        <v>45705</v>
      </c>
      <c r="C1470" s="1">
        <v>2.1</v>
      </c>
      <c r="D1470" t="s">
        <v>29</v>
      </c>
    </row>
    <row r="1471" spans="1:4" x14ac:dyDescent="0.25">
      <c r="A1471" t="s">
        <v>67</v>
      </c>
      <c r="B1471" s="2">
        <v>45714</v>
      </c>
      <c r="C1471" s="1">
        <v>7.2</v>
      </c>
      <c r="D1471" t="s">
        <v>29</v>
      </c>
    </row>
    <row r="1472" spans="1:4" x14ac:dyDescent="0.25">
      <c r="A1472" t="s">
        <v>147</v>
      </c>
      <c r="B1472" s="2">
        <v>45692</v>
      </c>
      <c r="C1472" s="1">
        <v>1.82</v>
      </c>
      <c r="D1472" t="s">
        <v>29</v>
      </c>
    </row>
    <row r="1473" spans="1:4" x14ac:dyDescent="0.25">
      <c r="A1473" t="s">
        <v>94</v>
      </c>
      <c r="B1473" s="2">
        <v>45713</v>
      </c>
      <c r="C1473" s="1">
        <v>2</v>
      </c>
      <c r="D1473" t="s">
        <v>29</v>
      </c>
    </row>
    <row r="1474" spans="1:4" x14ac:dyDescent="0.25">
      <c r="A1474" t="s">
        <v>80</v>
      </c>
      <c r="B1474" s="2">
        <v>45714</v>
      </c>
      <c r="C1474" s="1">
        <v>1.97</v>
      </c>
      <c r="D1474" t="s">
        <v>29</v>
      </c>
    </row>
    <row r="1475" spans="1:4" x14ac:dyDescent="0.25">
      <c r="A1475" t="s">
        <v>102</v>
      </c>
      <c r="B1475" s="2">
        <v>45692</v>
      </c>
      <c r="C1475" s="1">
        <v>7.6</v>
      </c>
      <c r="D1475" t="s">
        <v>29</v>
      </c>
    </row>
    <row r="1476" spans="1:4" x14ac:dyDescent="0.25">
      <c r="A1476" t="s">
        <v>66</v>
      </c>
      <c r="B1476" s="2">
        <v>45696</v>
      </c>
      <c r="C1476" s="1">
        <v>6</v>
      </c>
      <c r="D1476" t="s">
        <v>29</v>
      </c>
    </row>
    <row r="1477" spans="1:4" x14ac:dyDescent="0.25">
      <c r="A1477" t="s">
        <v>125</v>
      </c>
      <c r="B1477" s="2">
        <v>45702</v>
      </c>
      <c r="C1477" s="1">
        <v>0.98</v>
      </c>
      <c r="D1477" t="s">
        <v>29</v>
      </c>
    </row>
    <row r="1478" spans="1:4" x14ac:dyDescent="0.25">
      <c r="A1478" t="s">
        <v>80</v>
      </c>
      <c r="B1478" s="2">
        <v>45707</v>
      </c>
      <c r="C1478" s="1">
        <v>6</v>
      </c>
      <c r="D1478" t="s">
        <v>29</v>
      </c>
    </row>
    <row r="1479" spans="1:4" x14ac:dyDescent="0.25">
      <c r="A1479" t="s">
        <v>86</v>
      </c>
      <c r="B1479" s="2">
        <v>45699</v>
      </c>
      <c r="C1479" s="1">
        <v>7.2</v>
      </c>
      <c r="D1479" t="s">
        <v>29</v>
      </c>
    </row>
    <row r="1480" spans="1:4" x14ac:dyDescent="0.25">
      <c r="A1480" t="s">
        <v>108</v>
      </c>
      <c r="B1480" s="2">
        <v>45716</v>
      </c>
      <c r="C1480" s="1">
        <v>7.2</v>
      </c>
      <c r="D1480" t="s">
        <v>29</v>
      </c>
    </row>
    <row r="1481" spans="1:4" x14ac:dyDescent="0.25">
      <c r="A1481" t="s">
        <v>68</v>
      </c>
      <c r="B1481" s="2">
        <v>45691</v>
      </c>
      <c r="C1481" s="1">
        <v>7</v>
      </c>
      <c r="D1481" t="s">
        <v>29</v>
      </c>
    </row>
    <row r="1482" spans="1:4" x14ac:dyDescent="0.25">
      <c r="A1482" t="s">
        <v>146</v>
      </c>
      <c r="B1482" s="2">
        <v>45713</v>
      </c>
      <c r="C1482" s="1">
        <v>7.2</v>
      </c>
      <c r="D1482" t="s">
        <v>29</v>
      </c>
    </row>
    <row r="1483" spans="1:4" x14ac:dyDescent="0.25">
      <c r="A1483" t="s">
        <v>143</v>
      </c>
      <c r="B1483" s="2">
        <v>45712</v>
      </c>
      <c r="C1483" s="1">
        <v>6</v>
      </c>
      <c r="D1483" t="s">
        <v>29</v>
      </c>
    </row>
    <row r="1484" spans="1:4" x14ac:dyDescent="0.25">
      <c r="A1484" t="s">
        <v>83</v>
      </c>
      <c r="B1484" s="2">
        <v>45691</v>
      </c>
      <c r="C1484" s="1">
        <v>7.2</v>
      </c>
      <c r="D1484" t="s">
        <v>29</v>
      </c>
    </row>
    <row r="1485" spans="1:4" x14ac:dyDescent="0.25">
      <c r="A1485" t="s">
        <v>135</v>
      </c>
      <c r="B1485" s="2">
        <v>45702</v>
      </c>
      <c r="C1485" s="1">
        <v>7.2</v>
      </c>
      <c r="D1485" t="s">
        <v>29</v>
      </c>
    </row>
    <row r="1486" spans="1:4" x14ac:dyDescent="0.25">
      <c r="A1486" t="s">
        <v>122</v>
      </c>
      <c r="B1486" s="2">
        <v>45709</v>
      </c>
      <c r="C1486" s="1">
        <v>7.2</v>
      </c>
      <c r="D1486" t="s">
        <v>29</v>
      </c>
    </row>
    <row r="1487" spans="1:4" x14ac:dyDescent="0.25">
      <c r="A1487" t="s">
        <v>108</v>
      </c>
      <c r="B1487" s="2">
        <v>45701</v>
      </c>
      <c r="C1487" s="1">
        <v>0.8</v>
      </c>
      <c r="D1487" t="s">
        <v>29</v>
      </c>
    </row>
    <row r="1488" spans="1:4" x14ac:dyDescent="0.25">
      <c r="A1488" t="s">
        <v>137</v>
      </c>
      <c r="B1488" s="2">
        <v>45716</v>
      </c>
      <c r="C1488" s="1">
        <v>7.2</v>
      </c>
      <c r="D1488" t="s">
        <v>29</v>
      </c>
    </row>
    <row r="1489" spans="1:4" x14ac:dyDescent="0.25">
      <c r="A1489" t="s">
        <v>82</v>
      </c>
      <c r="B1489" s="2">
        <v>45708</v>
      </c>
      <c r="C1489" s="1">
        <v>1</v>
      </c>
      <c r="D1489" t="s">
        <v>29</v>
      </c>
    </row>
    <row r="1490" spans="1:4" x14ac:dyDescent="0.25">
      <c r="A1490" t="s">
        <v>73</v>
      </c>
      <c r="B1490" s="2">
        <v>45716</v>
      </c>
      <c r="C1490" s="1">
        <v>1.93</v>
      </c>
      <c r="D1490" t="s">
        <v>29</v>
      </c>
    </row>
    <row r="1491" spans="1:4" x14ac:dyDescent="0.25">
      <c r="A1491" t="s">
        <v>133</v>
      </c>
      <c r="B1491" s="2">
        <v>45691</v>
      </c>
      <c r="C1491" s="1">
        <v>7.2</v>
      </c>
      <c r="D1491" t="s">
        <v>29</v>
      </c>
    </row>
    <row r="1492" spans="1:4" x14ac:dyDescent="0.25">
      <c r="A1492" t="s">
        <v>147</v>
      </c>
      <c r="B1492" s="2">
        <v>45692</v>
      </c>
      <c r="C1492" s="1">
        <v>7.2</v>
      </c>
      <c r="D1492" t="s">
        <v>29</v>
      </c>
    </row>
    <row r="1493" spans="1:4" x14ac:dyDescent="0.25">
      <c r="A1493" t="s">
        <v>95</v>
      </c>
      <c r="B1493" s="2">
        <v>45695</v>
      </c>
      <c r="C1493" s="1">
        <v>7.2</v>
      </c>
      <c r="D1493" t="s">
        <v>29</v>
      </c>
    </row>
    <row r="1494" spans="1:4" x14ac:dyDescent="0.25">
      <c r="A1494" t="s">
        <v>130</v>
      </c>
      <c r="B1494" s="2">
        <v>45709</v>
      </c>
      <c r="C1494" s="1">
        <v>7.2</v>
      </c>
      <c r="D1494" t="s">
        <v>29</v>
      </c>
    </row>
    <row r="1495" spans="1:4" x14ac:dyDescent="0.25">
      <c r="A1495" t="s">
        <v>121</v>
      </c>
      <c r="B1495" s="2">
        <v>45692</v>
      </c>
      <c r="C1495" s="1">
        <v>4</v>
      </c>
      <c r="D1495" t="s">
        <v>29</v>
      </c>
    </row>
    <row r="1496" spans="1:4" x14ac:dyDescent="0.25">
      <c r="A1496" t="s">
        <v>69</v>
      </c>
      <c r="B1496" s="2">
        <v>45692</v>
      </c>
      <c r="C1496" s="1">
        <v>0.35</v>
      </c>
      <c r="D1496" t="s">
        <v>29</v>
      </c>
    </row>
    <row r="1497" spans="1:4" x14ac:dyDescent="0.25">
      <c r="A1497" t="s">
        <v>108</v>
      </c>
      <c r="B1497" s="2">
        <v>45709</v>
      </c>
      <c r="C1497" s="1">
        <v>1.28</v>
      </c>
      <c r="D1497" t="s">
        <v>29</v>
      </c>
    </row>
    <row r="1498" spans="1:4" x14ac:dyDescent="0.25">
      <c r="A1498" t="s">
        <v>74</v>
      </c>
      <c r="B1498" s="2">
        <v>45712</v>
      </c>
      <c r="C1498" s="1">
        <v>7.2</v>
      </c>
      <c r="D1498" t="s">
        <v>29</v>
      </c>
    </row>
    <row r="1499" spans="1:4" x14ac:dyDescent="0.25">
      <c r="A1499" t="s">
        <v>110</v>
      </c>
      <c r="B1499" s="2">
        <v>45716</v>
      </c>
      <c r="C1499" s="1">
        <v>0.48</v>
      </c>
      <c r="D1499" t="s">
        <v>29</v>
      </c>
    </row>
    <row r="1500" spans="1:4" x14ac:dyDescent="0.25">
      <c r="A1500" t="s">
        <v>77</v>
      </c>
      <c r="B1500" s="2">
        <v>45692</v>
      </c>
      <c r="C1500" s="1">
        <v>7.6</v>
      </c>
      <c r="D1500" t="s">
        <v>29</v>
      </c>
    </row>
    <row r="1501" spans="1:4" x14ac:dyDescent="0.25">
      <c r="A1501" t="s">
        <v>128</v>
      </c>
      <c r="B1501" s="2">
        <v>45699</v>
      </c>
      <c r="C1501" s="1">
        <v>7.6</v>
      </c>
      <c r="D1501" t="s">
        <v>29</v>
      </c>
    </row>
    <row r="1502" spans="1:4" x14ac:dyDescent="0.25">
      <c r="A1502" t="s">
        <v>74</v>
      </c>
      <c r="B1502" s="2">
        <v>45712</v>
      </c>
      <c r="C1502" s="1">
        <v>7.6</v>
      </c>
      <c r="D1502" t="s">
        <v>29</v>
      </c>
    </row>
    <row r="1503" spans="1:4" x14ac:dyDescent="0.25">
      <c r="A1503" t="s">
        <v>114</v>
      </c>
      <c r="B1503" s="2">
        <v>45713</v>
      </c>
      <c r="C1503" s="1">
        <v>7.6</v>
      </c>
      <c r="D1503" t="s">
        <v>29</v>
      </c>
    </row>
    <row r="1504" spans="1:4" x14ac:dyDescent="0.25">
      <c r="A1504" t="s">
        <v>94</v>
      </c>
      <c r="B1504" s="2">
        <v>45714</v>
      </c>
      <c r="C1504" s="1">
        <v>7.6</v>
      </c>
      <c r="D1504" t="s">
        <v>29</v>
      </c>
    </row>
    <row r="1505" spans="1:4" x14ac:dyDescent="0.25">
      <c r="A1505" t="s">
        <v>120</v>
      </c>
      <c r="B1505" s="2">
        <v>45715</v>
      </c>
      <c r="C1505" s="1">
        <v>7.6</v>
      </c>
      <c r="D1505" t="s">
        <v>29</v>
      </c>
    </row>
    <row r="1506" spans="1:4" x14ac:dyDescent="0.25">
      <c r="A1506" t="s">
        <v>83</v>
      </c>
      <c r="B1506" s="2">
        <v>45716</v>
      </c>
      <c r="C1506" s="1">
        <v>7.6</v>
      </c>
      <c r="D1506" t="s">
        <v>29</v>
      </c>
    </row>
    <row r="1507" spans="1:4" x14ac:dyDescent="0.25">
      <c r="A1507" t="s">
        <v>68</v>
      </c>
      <c r="B1507" s="2">
        <v>45691</v>
      </c>
      <c r="C1507" s="1">
        <v>6</v>
      </c>
      <c r="D1507" t="s">
        <v>29</v>
      </c>
    </row>
    <row r="1508" spans="1:4" x14ac:dyDescent="0.25">
      <c r="A1508" t="s">
        <v>84</v>
      </c>
      <c r="B1508" s="2">
        <v>45692</v>
      </c>
      <c r="C1508" s="1">
        <v>6</v>
      </c>
      <c r="D1508" t="s">
        <v>29</v>
      </c>
    </row>
    <row r="1509" spans="1:4" x14ac:dyDescent="0.25">
      <c r="A1509" t="s">
        <v>68</v>
      </c>
      <c r="B1509" s="2">
        <v>45714</v>
      </c>
      <c r="C1509" s="1">
        <v>7.2</v>
      </c>
      <c r="D1509" t="s">
        <v>29</v>
      </c>
    </row>
    <row r="1510" spans="1:4" x14ac:dyDescent="0.25">
      <c r="A1510" t="s">
        <v>133</v>
      </c>
      <c r="B1510" s="2">
        <v>45691</v>
      </c>
      <c r="C1510" s="1">
        <v>1</v>
      </c>
      <c r="D1510" t="s">
        <v>29</v>
      </c>
    </row>
    <row r="1511" spans="1:4" x14ac:dyDescent="0.25">
      <c r="A1511" t="s">
        <v>108</v>
      </c>
      <c r="B1511" s="2">
        <v>45698</v>
      </c>
      <c r="C1511" s="1">
        <v>1</v>
      </c>
      <c r="D1511" t="s">
        <v>29</v>
      </c>
    </row>
    <row r="1512" spans="1:4" x14ac:dyDescent="0.25">
      <c r="A1512" t="s">
        <v>72</v>
      </c>
      <c r="B1512" s="2">
        <v>45705</v>
      </c>
      <c r="C1512" s="1">
        <v>1</v>
      </c>
      <c r="D1512" t="s">
        <v>29</v>
      </c>
    </row>
    <row r="1513" spans="1:4" x14ac:dyDescent="0.25">
      <c r="A1513" t="s">
        <v>116</v>
      </c>
      <c r="B1513" s="2">
        <v>45706</v>
      </c>
      <c r="C1513" s="1">
        <v>7.2</v>
      </c>
      <c r="D1513" t="s">
        <v>29</v>
      </c>
    </row>
    <row r="1514" spans="1:4" x14ac:dyDescent="0.25">
      <c r="A1514" t="s">
        <v>81</v>
      </c>
      <c r="B1514" s="2">
        <v>45707</v>
      </c>
      <c r="C1514" s="1">
        <v>7.2</v>
      </c>
      <c r="D1514" t="s">
        <v>29</v>
      </c>
    </row>
    <row r="1515" spans="1:4" x14ac:dyDescent="0.25">
      <c r="A1515" t="s">
        <v>129</v>
      </c>
      <c r="B1515" s="2">
        <v>45695</v>
      </c>
      <c r="C1515" s="1">
        <v>7.2</v>
      </c>
      <c r="D1515" t="s">
        <v>29</v>
      </c>
    </row>
    <row r="1516" spans="1:4" x14ac:dyDescent="0.25">
      <c r="A1516" t="s">
        <v>110</v>
      </c>
      <c r="B1516" s="2">
        <v>45701</v>
      </c>
      <c r="C1516" s="1">
        <v>0.88</v>
      </c>
      <c r="D1516" t="s">
        <v>29</v>
      </c>
    </row>
    <row r="1517" spans="1:4" x14ac:dyDescent="0.25">
      <c r="A1517" t="s">
        <v>130</v>
      </c>
      <c r="B1517" s="2">
        <v>45705</v>
      </c>
      <c r="C1517" s="1">
        <v>7.2</v>
      </c>
      <c r="D1517" t="s">
        <v>29</v>
      </c>
    </row>
    <row r="1518" spans="1:4" x14ac:dyDescent="0.25">
      <c r="A1518" t="s">
        <v>88</v>
      </c>
      <c r="B1518" s="2">
        <v>45707</v>
      </c>
      <c r="C1518" s="1">
        <v>7.2</v>
      </c>
      <c r="D1518" t="s">
        <v>29</v>
      </c>
    </row>
    <row r="1519" spans="1:4" x14ac:dyDescent="0.25">
      <c r="A1519" t="s">
        <v>93</v>
      </c>
      <c r="B1519" s="2">
        <v>45708</v>
      </c>
      <c r="C1519" s="1">
        <v>7.2</v>
      </c>
      <c r="D1519" t="s">
        <v>29</v>
      </c>
    </row>
    <row r="1520" spans="1:4" x14ac:dyDescent="0.25">
      <c r="A1520" t="s">
        <v>97</v>
      </c>
      <c r="B1520" s="2">
        <v>45692</v>
      </c>
      <c r="C1520" s="1">
        <v>7.2</v>
      </c>
      <c r="D1520" t="s">
        <v>29</v>
      </c>
    </row>
    <row r="1521" spans="1:4" x14ac:dyDescent="0.25">
      <c r="A1521" t="s">
        <v>133</v>
      </c>
      <c r="B1521" s="2">
        <v>45705</v>
      </c>
      <c r="C1521" s="1">
        <v>0.35</v>
      </c>
      <c r="D1521" t="s">
        <v>29</v>
      </c>
    </row>
    <row r="1522" spans="1:4" x14ac:dyDescent="0.25">
      <c r="A1522" t="s">
        <v>70</v>
      </c>
      <c r="B1522" s="2">
        <v>45713</v>
      </c>
      <c r="C1522" s="1">
        <v>0.32</v>
      </c>
      <c r="D1522" t="s">
        <v>29</v>
      </c>
    </row>
    <row r="1523" spans="1:4" x14ac:dyDescent="0.25">
      <c r="A1523" t="s">
        <v>117</v>
      </c>
      <c r="B1523" s="2">
        <v>45700</v>
      </c>
      <c r="C1523" s="1">
        <v>3.1</v>
      </c>
      <c r="D1523" t="s">
        <v>29</v>
      </c>
    </row>
    <row r="1524" spans="1:4" x14ac:dyDescent="0.25">
      <c r="A1524" t="s">
        <v>125</v>
      </c>
      <c r="B1524" s="2">
        <v>45709</v>
      </c>
      <c r="C1524" s="1">
        <v>8</v>
      </c>
      <c r="D1524" t="s">
        <v>29</v>
      </c>
    </row>
    <row r="1525" spans="1:4" x14ac:dyDescent="0.25">
      <c r="A1525" t="s">
        <v>116</v>
      </c>
      <c r="B1525" s="2">
        <v>45699</v>
      </c>
      <c r="C1525" s="1">
        <v>0.5</v>
      </c>
      <c r="D1525" t="s">
        <v>29</v>
      </c>
    </row>
    <row r="1526" spans="1:4" x14ac:dyDescent="0.25">
      <c r="A1526" t="s">
        <v>78</v>
      </c>
      <c r="B1526" s="2">
        <v>45700</v>
      </c>
      <c r="C1526" s="1">
        <v>0.67</v>
      </c>
      <c r="D1526" t="s">
        <v>29</v>
      </c>
    </row>
    <row r="1527" spans="1:4" x14ac:dyDescent="0.25">
      <c r="A1527" t="s">
        <v>100</v>
      </c>
      <c r="B1527" s="2">
        <v>45709</v>
      </c>
      <c r="C1527" s="1">
        <v>2.4</v>
      </c>
      <c r="D1527" t="s">
        <v>29</v>
      </c>
    </row>
    <row r="1528" spans="1:4" x14ac:dyDescent="0.25">
      <c r="A1528" t="s">
        <v>88</v>
      </c>
      <c r="B1528" s="2">
        <v>45713</v>
      </c>
      <c r="C1528" s="1">
        <v>7.2</v>
      </c>
      <c r="D1528" t="s">
        <v>29</v>
      </c>
    </row>
    <row r="1529" spans="1:4" x14ac:dyDescent="0.25">
      <c r="A1529" t="s">
        <v>73</v>
      </c>
      <c r="B1529" s="2">
        <v>45701</v>
      </c>
      <c r="C1529" s="1">
        <v>3.65</v>
      </c>
      <c r="D1529" t="s">
        <v>29</v>
      </c>
    </row>
    <row r="1530" spans="1:4" x14ac:dyDescent="0.25">
      <c r="A1530" t="s">
        <v>94</v>
      </c>
      <c r="B1530" s="2">
        <v>45707</v>
      </c>
      <c r="C1530" s="1">
        <v>0.7</v>
      </c>
      <c r="D1530" t="s">
        <v>29</v>
      </c>
    </row>
    <row r="1531" spans="1:4" x14ac:dyDescent="0.25">
      <c r="A1531" t="s">
        <v>70</v>
      </c>
      <c r="B1531" s="2">
        <v>45714</v>
      </c>
      <c r="C1531" s="1">
        <v>6.32</v>
      </c>
      <c r="D1531" t="s">
        <v>29</v>
      </c>
    </row>
    <row r="1532" spans="1:4" x14ac:dyDescent="0.25">
      <c r="A1532" t="s">
        <v>128</v>
      </c>
      <c r="B1532" s="2">
        <v>45715</v>
      </c>
      <c r="C1532" s="1">
        <v>6.32</v>
      </c>
      <c r="D1532" t="s">
        <v>29</v>
      </c>
    </row>
    <row r="1533" spans="1:4" x14ac:dyDescent="0.25">
      <c r="A1533" t="s">
        <v>106</v>
      </c>
      <c r="B1533" s="2">
        <v>45716</v>
      </c>
      <c r="C1533" s="1">
        <v>6.32</v>
      </c>
      <c r="D1533" t="s">
        <v>29</v>
      </c>
    </row>
    <row r="1534" spans="1:4" x14ac:dyDescent="0.25">
      <c r="A1534" t="s">
        <v>131</v>
      </c>
      <c r="B1534" s="2">
        <v>45705</v>
      </c>
      <c r="C1534" s="1">
        <v>7.2</v>
      </c>
      <c r="D1534" t="s">
        <v>29</v>
      </c>
    </row>
    <row r="1535" spans="1:4" x14ac:dyDescent="0.25">
      <c r="A1535" t="s">
        <v>136</v>
      </c>
      <c r="B1535" s="2">
        <v>45705</v>
      </c>
      <c r="C1535" s="1">
        <v>1.2</v>
      </c>
      <c r="D1535" t="s">
        <v>29</v>
      </c>
    </row>
    <row r="1536" spans="1:4" x14ac:dyDescent="0.25">
      <c r="A1536" t="s">
        <v>125</v>
      </c>
      <c r="B1536" s="2">
        <v>45700</v>
      </c>
      <c r="C1536" s="1">
        <v>2.27</v>
      </c>
      <c r="D1536" t="s">
        <v>29</v>
      </c>
    </row>
    <row r="1537" spans="1:4" x14ac:dyDescent="0.25">
      <c r="A1537" t="s">
        <v>66</v>
      </c>
      <c r="B1537" s="2">
        <v>45714</v>
      </c>
      <c r="C1537" s="1">
        <v>7.6</v>
      </c>
      <c r="D1537" t="s">
        <v>29</v>
      </c>
    </row>
    <row r="1538" spans="1:4" x14ac:dyDescent="0.25">
      <c r="A1538" t="s">
        <v>81</v>
      </c>
      <c r="B1538" s="2">
        <v>45715</v>
      </c>
      <c r="C1538" s="1">
        <v>6</v>
      </c>
      <c r="D1538" t="s">
        <v>29</v>
      </c>
    </row>
    <row r="1539" spans="1:4" x14ac:dyDescent="0.25">
      <c r="A1539" t="s">
        <v>70</v>
      </c>
      <c r="B1539" s="2">
        <v>45716</v>
      </c>
      <c r="C1539" s="1">
        <v>6</v>
      </c>
      <c r="D1539" t="s">
        <v>29</v>
      </c>
    </row>
    <row r="1540" spans="1:4" x14ac:dyDescent="0.25">
      <c r="A1540" t="s">
        <v>98</v>
      </c>
      <c r="B1540" s="2">
        <v>45691</v>
      </c>
      <c r="C1540" s="1">
        <v>7.2</v>
      </c>
      <c r="D1540" t="s">
        <v>29</v>
      </c>
    </row>
    <row r="1541" spans="1:4" x14ac:dyDescent="0.25">
      <c r="A1541" t="s">
        <v>87</v>
      </c>
      <c r="B1541" s="2">
        <v>45692</v>
      </c>
      <c r="C1541" s="1">
        <v>7.2</v>
      </c>
      <c r="D1541" t="s">
        <v>29</v>
      </c>
    </row>
    <row r="1542" spans="1:4" x14ac:dyDescent="0.25">
      <c r="A1542" t="s">
        <v>82</v>
      </c>
      <c r="B1542" s="2">
        <v>45694</v>
      </c>
      <c r="C1542" s="1">
        <v>7.2</v>
      </c>
      <c r="D1542" t="s">
        <v>29</v>
      </c>
    </row>
    <row r="1543" spans="1:4" x14ac:dyDescent="0.25">
      <c r="A1543" t="s">
        <v>103</v>
      </c>
      <c r="B1543" s="2">
        <v>45695</v>
      </c>
      <c r="C1543" s="1">
        <v>7.2</v>
      </c>
      <c r="D1543" t="s">
        <v>29</v>
      </c>
    </row>
    <row r="1544" spans="1:4" x14ac:dyDescent="0.25">
      <c r="A1544" t="s">
        <v>87</v>
      </c>
      <c r="B1544" s="2">
        <v>45714</v>
      </c>
      <c r="C1544" s="1">
        <v>6</v>
      </c>
      <c r="D1544" t="s">
        <v>29</v>
      </c>
    </row>
    <row r="1545" spans="1:4" x14ac:dyDescent="0.25">
      <c r="A1545" t="s">
        <v>148</v>
      </c>
      <c r="B1545" s="2">
        <v>45692</v>
      </c>
      <c r="C1545" s="1">
        <v>0.78</v>
      </c>
      <c r="D1545" t="s">
        <v>29</v>
      </c>
    </row>
    <row r="1546" spans="1:4" x14ac:dyDescent="0.25">
      <c r="A1546" t="s">
        <v>138</v>
      </c>
      <c r="B1546" s="2">
        <v>45694</v>
      </c>
      <c r="C1546" s="1">
        <v>0.98</v>
      </c>
      <c r="D1546" t="s">
        <v>29</v>
      </c>
    </row>
    <row r="1547" spans="1:4" x14ac:dyDescent="0.25">
      <c r="A1547" t="s">
        <v>77</v>
      </c>
      <c r="B1547" s="2">
        <v>45698</v>
      </c>
      <c r="C1547" s="1">
        <v>0.68</v>
      </c>
      <c r="D1547" t="s">
        <v>29</v>
      </c>
    </row>
    <row r="1548" spans="1:4" x14ac:dyDescent="0.25">
      <c r="A1548" t="s">
        <v>126</v>
      </c>
      <c r="B1548" s="2">
        <v>45708</v>
      </c>
      <c r="C1548" s="1">
        <v>1.2</v>
      </c>
      <c r="D1548" t="s">
        <v>29</v>
      </c>
    </row>
    <row r="1549" spans="1:4" x14ac:dyDescent="0.25">
      <c r="A1549" t="s">
        <v>98</v>
      </c>
      <c r="B1549" s="2">
        <v>45712</v>
      </c>
      <c r="C1549" s="1">
        <v>0.37</v>
      </c>
      <c r="D1549" t="s">
        <v>29</v>
      </c>
    </row>
    <row r="1550" spans="1:4" x14ac:dyDescent="0.25">
      <c r="A1550" t="s">
        <v>137</v>
      </c>
      <c r="B1550" s="2">
        <v>45714</v>
      </c>
      <c r="C1550" s="1">
        <v>0.52</v>
      </c>
      <c r="D1550" t="s">
        <v>29</v>
      </c>
    </row>
    <row r="1551" spans="1:4" x14ac:dyDescent="0.25">
      <c r="A1551" t="s">
        <v>111</v>
      </c>
      <c r="B1551" s="2">
        <v>45691</v>
      </c>
      <c r="C1551" s="1">
        <v>7.2</v>
      </c>
      <c r="D1551" t="s">
        <v>29</v>
      </c>
    </row>
    <row r="1552" spans="1:4" x14ac:dyDescent="0.25">
      <c r="A1552" t="s">
        <v>141</v>
      </c>
      <c r="B1552" s="2">
        <v>45694</v>
      </c>
      <c r="C1552" s="1">
        <v>7.2</v>
      </c>
      <c r="D1552" t="s">
        <v>29</v>
      </c>
    </row>
    <row r="1553" spans="1:4" x14ac:dyDescent="0.25">
      <c r="A1553" t="s">
        <v>83</v>
      </c>
      <c r="B1553" s="2">
        <v>45695</v>
      </c>
      <c r="C1553" s="1">
        <v>7.2</v>
      </c>
      <c r="D1553" t="s">
        <v>29</v>
      </c>
    </row>
    <row r="1554" spans="1:4" x14ac:dyDescent="0.25">
      <c r="A1554" t="s">
        <v>142</v>
      </c>
      <c r="B1554" s="2">
        <v>45715</v>
      </c>
      <c r="C1554" s="1">
        <v>7.2</v>
      </c>
      <c r="D1554" t="s">
        <v>29</v>
      </c>
    </row>
    <row r="1555" spans="1:4" x14ac:dyDescent="0.25">
      <c r="A1555" t="s">
        <v>114</v>
      </c>
      <c r="B1555" s="2">
        <v>45701</v>
      </c>
      <c r="C1555" s="1">
        <v>7.6</v>
      </c>
      <c r="D1555" t="s">
        <v>29</v>
      </c>
    </row>
    <row r="1556" spans="1:4" x14ac:dyDescent="0.25">
      <c r="A1556" t="s">
        <v>144</v>
      </c>
      <c r="B1556" s="2">
        <v>45708</v>
      </c>
      <c r="C1556" s="1">
        <v>7.6</v>
      </c>
      <c r="D1556" t="s">
        <v>29</v>
      </c>
    </row>
    <row r="1557" spans="1:4" x14ac:dyDescent="0.25">
      <c r="A1557" t="s">
        <v>80</v>
      </c>
      <c r="B1557" s="2">
        <v>45710</v>
      </c>
      <c r="C1557" s="1">
        <v>6</v>
      </c>
      <c r="D1557" t="s">
        <v>29</v>
      </c>
    </row>
    <row r="1558" spans="1:4" x14ac:dyDescent="0.25">
      <c r="A1558" t="s">
        <v>80</v>
      </c>
      <c r="B1558" s="2">
        <v>45715</v>
      </c>
      <c r="C1558" s="1">
        <v>6</v>
      </c>
      <c r="D1558" t="s">
        <v>29</v>
      </c>
    </row>
    <row r="1559" spans="1:4" x14ac:dyDescent="0.25">
      <c r="A1559" t="s">
        <v>106</v>
      </c>
      <c r="B1559" s="2">
        <v>45716</v>
      </c>
      <c r="C1559" s="1">
        <v>6</v>
      </c>
      <c r="D1559" t="s">
        <v>29</v>
      </c>
    </row>
    <row r="1560" spans="1:4" x14ac:dyDescent="0.25">
      <c r="A1560" t="s">
        <v>134</v>
      </c>
      <c r="B1560" s="2">
        <v>45696</v>
      </c>
      <c r="C1560" s="1">
        <v>6</v>
      </c>
      <c r="D1560" t="s">
        <v>29</v>
      </c>
    </row>
    <row r="1561" spans="1:4" x14ac:dyDescent="0.25">
      <c r="A1561" t="s">
        <v>106</v>
      </c>
      <c r="B1561" s="2">
        <v>45691</v>
      </c>
      <c r="C1561" s="1">
        <v>5</v>
      </c>
      <c r="D1561" t="s">
        <v>29</v>
      </c>
    </row>
    <row r="1562" spans="1:4" x14ac:dyDescent="0.25">
      <c r="A1562" t="s">
        <v>106</v>
      </c>
      <c r="B1562" s="2">
        <v>45692</v>
      </c>
      <c r="C1562" s="1">
        <v>5</v>
      </c>
      <c r="D1562" t="s">
        <v>29</v>
      </c>
    </row>
    <row r="1563" spans="1:4" x14ac:dyDescent="0.25">
      <c r="A1563" t="s">
        <v>147</v>
      </c>
      <c r="B1563" s="2">
        <v>45694</v>
      </c>
      <c r="C1563" s="1">
        <v>5</v>
      </c>
      <c r="D1563" t="s">
        <v>29</v>
      </c>
    </row>
    <row r="1564" spans="1:4" x14ac:dyDescent="0.25">
      <c r="A1564" t="s">
        <v>110</v>
      </c>
      <c r="B1564" s="2">
        <v>45695</v>
      </c>
      <c r="C1564" s="1">
        <v>5</v>
      </c>
      <c r="D1564" t="s">
        <v>29</v>
      </c>
    </row>
    <row r="1565" spans="1:4" x14ac:dyDescent="0.25">
      <c r="A1565" t="s">
        <v>105</v>
      </c>
      <c r="B1565" s="2">
        <v>45712</v>
      </c>
      <c r="C1565" s="1">
        <v>1.95</v>
      </c>
      <c r="D1565" t="s">
        <v>29</v>
      </c>
    </row>
    <row r="1566" spans="1:4" x14ac:dyDescent="0.25">
      <c r="A1566" t="s">
        <v>146</v>
      </c>
      <c r="B1566" s="2">
        <v>45713</v>
      </c>
      <c r="C1566" s="1">
        <v>5</v>
      </c>
      <c r="D1566" t="s">
        <v>29</v>
      </c>
    </row>
    <row r="1567" spans="1:4" x14ac:dyDescent="0.25">
      <c r="A1567" t="s">
        <v>118</v>
      </c>
      <c r="B1567" s="2">
        <v>45698</v>
      </c>
      <c r="C1567" s="1">
        <v>7.2</v>
      </c>
      <c r="D1567" t="s">
        <v>29</v>
      </c>
    </row>
    <row r="1568" spans="1:4" x14ac:dyDescent="0.25">
      <c r="A1568" t="s">
        <v>119</v>
      </c>
      <c r="B1568" s="2">
        <v>45701</v>
      </c>
      <c r="C1568" s="1">
        <v>6</v>
      </c>
      <c r="D1568" t="s">
        <v>29</v>
      </c>
    </row>
    <row r="1569" spans="1:4" x14ac:dyDescent="0.25">
      <c r="A1569" t="s">
        <v>120</v>
      </c>
      <c r="B1569" s="2">
        <v>45705</v>
      </c>
      <c r="C1569" s="1">
        <v>0.93</v>
      </c>
      <c r="D1569" t="s">
        <v>29</v>
      </c>
    </row>
    <row r="1570" spans="1:4" x14ac:dyDescent="0.25">
      <c r="A1570" t="s">
        <v>81</v>
      </c>
      <c r="B1570" s="2">
        <v>45692</v>
      </c>
      <c r="C1570" s="1">
        <v>7.2</v>
      </c>
      <c r="D1570" t="s">
        <v>29</v>
      </c>
    </row>
    <row r="1571" spans="1:4" x14ac:dyDescent="0.25">
      <c r="A1571" t="s">
        <v>121</v>
      </c>
      <c r="B1571" s="2">
        <v>45694</v>
      </c>
      <c r="C1571" s="1">
        <v>0.38</v>
      </c>
      <c r="D1571" t="s">
        <v>29</v>
      </c>
    </row>
    <row r="1572" spans="1:4" x14ac:dyDescent="0.25">
      <c r="A1572" t="s">
        <v>74</v>
      </c>
      <c r="B1572" s="2">
        <v>45695</v>
      </c>
      <c r="C1572" s="1">
        <v>1.2</v>
      </c>
      <c r="D1572" t="s">
        <v>29</v>
      </c>
    </row>
    <row r="1573" spans="1:4" x14ac:dyDescent="0.25">
      <c r="A1573" t="s">
        <v>92</v>
      </c>
      <c r="B1573" s="2">
        <v>45698</v>
      </c>
      <c r="C1573" s="1">
        <v>0.97</v>
      </c>
      <c r="D1573" t="s">
        <v>29</v>
      </c>
    </row>
    <row r="1574" spans="1:4" x14ac:dyDescent="0.25">
      <c r="A1574" t="s">
        <v>85</v>
      </c>
      <c r="B1574" s="2">
        <v>45705</v>
      </c>
      <c r="C1574" s="1">
        <v>0.56999999999999995</v>
      </c>
      <c r="D1574" t="s">
        <v>29</v>
      </c>
    </row>
    <row r="1575" spans="1:4" x14ac:dyDescent="0.25">
      <c r="A1575" t="s">
        <v>119</v>
      </c>
      <c r="B1575" s="2">
        <v>45707</v>
      </c>
      <c r="C1575" s="1">
        <v>0.5</v>
      </c>
      <c r="D1575" t="s">
        <v>29</v>
      </c>
    </row>
    <row r="1576" spans="1:4" x14ac:dyDescent="0.25">
      <c r="A1576" t="s">
        <v>98</v>
      </c>
      <c r="B1576" s="2">
        <v>45708</v>
      </c>
      <c r="C1576" s="1">
        <v>0.3</v>
      </c>
      <c r="D1576" t="s">
        <v>29</v>
      </c>
    </row>
    <row r="1577" spans="1:4" x14ac:dyDescent="0.25">
      <c r="A1577" t="s">
        <v>138</v>
      </c>
      <c r="B1577" s="2">
        <v>45709</v>
      </c>
      <c r="C1577" s="1">
        <v>0.93</v>
      </c>
      <c r="D1577" t="s">
        <v>29</v>
      </c>
    </row>
    <row r="1578" spans="1:4" x14ac:dyDescent="0.25">
      <c r="A1578" t="s">
        <v>121</v>
      </c>
      <c r="B1578" s="2">
        <v>45716</v>
      </c>
      <c r="C1578" s="1">
        <v>1.65</v>
      </c>
      <c r="D1578" t="s">
        <v>29</v>
      </c>
    </row>
    <row r="1579" spans="1:4" x14ac:dyDescent="0.25">
      <c r="A1579" t="s">
        <v>82</v>
      </c>
      <c r="B1579" s="2">
        <v>45698</v>
      </c>
      <c r="C1579" s="1">
        <v>0.65</v>
      </c>
      <c r="D1579" t="s">
        <v>29</v>
      </c>
    </row>
    <row r="1580" spans="1:4" x14ac:dyDescent="0.25">
      <c r="A1580" t="s">
        <v>74</v>
      </c>
      <c r="B1580" s="2">
        <v>45699</v>
      </c>
      <c r="C1580" s="1">
        <v>1.1000000000000001</v>
      </c>
      <c r="D1580" t="s">
        <v>29</v>
      </c>
    </row>
    <row r="1581" spans="1:4" x14ac:dyDescent="0.25">
      <c r="A1581" t="s">
        <v>99</v>
      </c>
      <c r="B1581" s="2">
        <v>45702</v>
      </c>
      <c r="C1581" s="1">
        <v>0.97</v>
      </c>
      <c r="D1581" t="s">
        <v>29</v>
      </c>
    </row>
    <row r="1582" spans="1:4" x14ac:dyDescent="0.25">
      <c r="A1582" t="s">
        <v>100</v>
      </c>
      <c r="B1582" s="2">
        <v>45705</v>
      </c>
      <c r="C1582" s="1">
        <v>0.3</v>
      </c>
      <c r="D1582" t="s">
        <v>29</v>
      </c>
    </row>
    <row r="1583" spans="1:4" x14ac:dyDescent="0.25">
      <c r="A1583" t="s">
        <v>76</v>
      </c>
      <c r="B1583" s="2">
        <v>45714</v>
      </c>
      <c r="C1583" s="1">
        <v>0.65</v>
      </c>
      <c r="D1583" t="s">
        <v>29</v>
      </c>
    </row>
    <row r="1584" spans="1:4" x14ac:dyDescent="0.25">
      <c r="A1584" t="s">
        <v>147</v>
      </c>
      <c r="B1584" s="2">
        <v>45698</v>
      </c>
      <c r="C1584" s="1">
        <v>7.2</v>
      </c>
      <c r="D1584" t="s">
        <v>29</v>
      </c>
    </row>
    <row r="1585" spans="1:4" x14ac:dyDescent="0.25">
      <c r="A1585" t="s">
        <v>83</v>
      </c>
      <c r="B1585" s="2">
        <v>45705</v>
      </c>
      <c r="C1585" s="1">
        <v>7.2</v>
      </c>
      <c r="D1585" t="s">
        <v>29</v>
      </c>
    </row>
    <row r="1586" spans="1:4" x14ac:dyDescent="0.25">
      <c r="A1586" t="s">
        <v>79</v>
      </c>
      <c r="B1586" s="2">
        <v>45707</v>
      </c>
      <c r="C1586" s="1">
        <v>0.78</v>
      </c>
      <c r="D1586" t="s">
        <v>29</v>
      </c>
    </row>
    <row r="1587" spans="1:4" x14ac:dyDescent="0.25">
      <c r="A1587" t="s">
        <v>119</v>
      </c>
      <c r="B1587" s="2">
        <v>45709</v>
      </c>
      <c r="C1587" s="1">
        <v>7.2</v>
      </c>
      <c r="D1587" t="s">
        <v>29</v>
      </c>
    </row>
    <row r="1588" spans="1:4" x14ac:dyDescent="0.25">
      <c r="A1588" t="s">
        <v>73</v>
      </c>
      <c r="B1588" s="2">
        <v>45709</v>
      </c>
      <c r="C1588" s="1">
        <v>7.2</v>
      </c>
      <c r="D1588" t="s">
        <v>29</v>
      </c>
    </row>
    <row r="1589" spans="1:4" x14ac:dyDescent="0.25">
      <c r="A1589" t="s">
        <v>97</v>
      </c>
      <c r="B1589" s="2">
        <v>45696</v>
      </c>
      <c r="C1589" s="1">
        <v>0.93</v>
      </c>
      <c r="D1589" t="s">
        <v>29</v>
      </c>
    </row>
    <row r="1590" spans="1:4" x14ac:dyDescent="0.25">
      <c r="A1590" t="s">
        <v>76</v>
      </c>
      <c r="B1590" s="2">
        <v>45694</v>
      </c>
      <c r="C1590" s="1">
        <v>7.2</v>
      </c>
      <c r="D1590" t="s">
        <v>29</v>
      </c>
    </row>
    <row r="1591" spans="1:4" x14ac:dyDescent="0.25">
      <c r="A1591" t="s">
        <v>77</v>
      </c>
      <c r="B1591" s="2">
        <v>45695</v>
      </c>
      <c r="C1591" s="1">
        <v>7.2</v>
      </c>
      <c r="D1591" t="s">
        <v>29</v>
      </c>
    </row>
    <row r="1592" spans="1:4" x14ac:dyDescent="0.25">
      <c r="A1592" t="s">
        <v>67</v>
      </c>
      <c r="B1592" s="2">
        <v>45694</v>
      </c>
      <c r="C1592" s="1">
        <v>7.6</v>
      </c>
      <c r="D1592" t="s">
        <v>29</v>
      </c>
    </row>
    <row r="1593" spans="1:4" x14ac:dyDescent="0.25">
      <c r="A1593" t="s">
        <v>129</v>
      </c>
      <c r="B1593" s="2">
        <v>45695</v>
      </c>
      <c r="C1593" s="1">
        <v>7.6</v>
      </c>
      <c r="D1593" t="s">
        <v>29</v>
      </c>
    </row>
    <row r="1594" spans="1:4" x14ac:dyDescent="0.25">
      <c r="A1594" t="s">
        <v>146</v>
      </c>
      <c r="B1594" s="2">
        <v>45712</v>
      </c>
      <c r="C1594" s="1">
        <v>7.2</v>
      </c>
      <c r="D1594" t="s">
        <v>29</v>
      </c>
    </row>
    <row r="1595" spans="1:4" x14ac:dyDescent="0.25">
      <c r="A1595" t="s">
        <v>117</v>
      </c>
      <c r="B1595" s="2">
        <v>45710</v>
      </c>
      <c r="C1595" s="1">
        <v>6</v>
      </c>
      <c r="D1595" t="s">
        <v>29</v>
      </c>
    </row>
    <row r="1596" spans="1:4" x14ac:dyDescent="0.25">
      <c r="A1596" t="s">
        <v>120</v>
      </c>
      <c r="B1596" s="2">
        <v>45712</v>
      </c>
      <c r="C1596" s="1">
        <v>6</v>
      </c>
      <c r="D1596" t="s">
        <v>29</v>
      </c>
    </row>
    <row r="1597" spans="1:4" x14ac:dyDescent="0.25">
      <c r="A1597" t="s">
        <v>72</v>
      </c>
      <c r="B1597" s="2">
        <v>45710</v>
      </c>
      <c r="C1597" s="1">
        <v>6</v>
      </c>
      <c r="D1597" t="s">
        <v>29</v>
      </c>
    </row>
    <row r="1598" spans="1:4" x14ac:dyDescent="0.25">
      <c r="A1598" t="s">
        <v>120</v>
      </c>
      <c r="B1598" s="2">
        <v>45714</v>
      </c>
      <c r="C1598" s="1">
        <v>6</v>
      </c>
      <c r="D1598" t="s">
        <v>29</v>
      </c>
    </row>
    <row r="1599" spans="1:4" x14ac:dyDescent="0.25">
      <c r="A1599" t="s">
        <v>123</v>
      </c>
      <c r="B1599" s="2">
        <v>45715</v>
      </c>
      <c r="C1599" s="1">
        <v>6</v>
      </c>
      <c r="D1599" t="s">
        <v>29</v>
      </c>
    </row>
    <row r="1600" spans="1:4" x14ac:dyDescent="0.25">
      <c r="A1600" t="s">
        <v>121</v>
      </c>
      <c r="B1600" s="2">
        <v>45701</v>
      </c>
      <c r="C1600" s="1">
        <v>3.57</v>
      </c>
      <c r="D1600" t="s">
        <v>29</v>
      </c>
    </row>
    <row r="1601" spans="1:4" x14ac:dyDescent="0.25">
      <c r="A1601" t="s">
        <v>124</v>
      </c>
      <c r="B1601" s="2">
        <v>45702</v>
      </c>
      <c r="C1601" s="1">
        <v>7.2</v>
      </c>
      <c r="D1601" t="s">
        <v>29</v>
      </c>
    </row>
    <row r="1602" spans="1:4" x14ac:dyDescent="0.25">
      <c r="A1602" t="s">
        <v>108</v>
      </c>
      <c r="B1602" s="2">
        <v>45714</v>
      </c>
      <c r="C1602" s="1">
        <v>1.2</v>
      </c>
      <c r="D1602" t="s">
        <v>29</v>
      </c>
    </row>
    <row r="1603" spans="1:4" x14ac:dyDescent="0.25">
      <c r="A1603" t="s">
        <v>91</v>
      </c>
      <c r="B1603" s="2">
        <v>45691</v>
      </c>
      <c r="C1603" s="1">
        <v>1.02</v>
      </c>
      <c r="D1603" t="s">
        <v>29</v>
      </c>
    </row>
    <row r="1604" spans="1:4" x14ac:dyDescent="0.25">
      <c r="A1604" t="s">
        <v>149</v>
      </c>
      <c r="B1604" s="2">
        <v>45705</v>
      </c>
      <c r="C1604" s="1">
        <v>1.1000000000000001</v>
      </c>
      <c r="D1604" t="s">
        <v>29</v>
      </c>
    </row>
    <row r="1605" spans="1:4" x14ac:dyDescent="0.25">
      <c r="A1605" t="s">
        <v>96</v>
      </c>
      <c r="B1605" s="2">
        <v>45709</v>
      </c>
      <c r="C1605" s="1">
        <v>1.1000000000000001</v>
      </c>
      <c r="D1605" t="s">
        <v>29</v>
      </c>
    </row>
    <row r="1606" spans="1:4" x14ac:dyDescent="0.25">
      <c r="A1606" t="s">
        <v>146</v>
      </c>
      <c r="B1606" s="2">
        <v>45712</v>
      </c>
      <c r="C1606" s="1">
        <v>0.28000000000000003</v>
      </c>
      <c r="D1606" t="s">
        <v>29</v>
      </c>
    </row>
    <row r="1607" spans="1:4" x14ac:dyDescent="0.25">
      <c r="A1607" t="s">
        <v>106</v>
      </c>
      <c r="B1607" s="2">
        <v>45714</v>
      </c>
      <c r="C1607" s="1">
        <v>0.45</v>
      </c>
      <c r="D1607" t="s">
        <v>29</v>
      </c>
    </row>
    <row r="1608" spans="1:4" x14ac:dyDescent="0.25">
      <c r="A1608" t="s">
        <v>130</v>
      </c>
      <c r="B1608" s="2">
        <v>45716</v>
      </c>
      <c r="C1608" s="1">
        <v>1.07</v>
      </c>
      <c r="D1608" t="s">
        <v>29</v>
      </c>
    </row>
    <row r="1609" spans="1:4" x14ac:dyDescent="0.25">
      <c r="A1609" t="s">
        <v>119</v>
      </c>
      <c r="B1609" s="2">
        <v>45691</v>
      </c>
      <c r="C1609" s="1">
        <v>4.5</v>
      </c>
      <c r="D1609" t="s">
        <v>29</v>
      </c>
    </row>
    <row r="1610" spans="1:4" x14ac:dyDescent="0.25">
      <c r="A1610" t="s">
        <v>72</v>
      </c>
      <c r="B1610" s="2">
        <v>45692</v>
      </c>
      <c r="C1610" s="1">
        <v>7.2</v>
      </c>
      <c r="D1610" t="s">
        <v>29</v>
      </c>
    </row>
    <row r="1611" spans="1:4" x14ac:dyDescent="0.25">
      <c r="A1611" t="s">
        <v>145</v>
      </c>
      <c r="B1611" s="2">
        <v>45694</v>
      </c>
      <c r="C1611" s="1">
        <v>7.2</v>
      </c>
      <c r="D1611" t="s">
        <v>29</v>
      </c>
    </row>
    <row r="1612" spans="1:4" x14ac:dyDescent="0.25">
      <c r="A1612" t="s">
        <v>107</v>
      </c>
      <c r="B1612" s="2">
        <v>45695</v>
      </c>
      <c r="C1612" s="1">
        <v>7.2</v>
      </c>
      <c r="D1612" t="s">
        <v>29</v>
      </c>
    </row>
    <row r="1613" spans="1:4" x14ac:dyDescent="0.25">
      <c r="A1613" t="s">
        <v>102</v>
      </c>
      <c r="B1613" s="2">
        <v>45698</v>
      </c>
      <c r="C1613" s="1">
        <v>7.2</v>
      </c>
      <c r="D1613" t="s">
        <v>29</v>
      </c>
    </row>
    <row r="1614" spans="1:4" x14ac:dyDescent="0.25">
      <c r="A1614" t="s">
        <v>79</v>
      </c>
      <c r="B1614" s="2">
        <v>45698</v>
      </c>
      <c r="C1614" s="1">
        <v>7.2</v>
      </c>
      <c r="D1614" t="s">
        <v>29</v>
      </c>
    </row>
    <row r="1615" spans="1:4" x14ac:dyDescent="0.25">
      <c r="A1615" t="s">
        <v>65</v>
      </c>
      <c r="B1615" s="2">
        <v>45695</v>
      </c>
      <c r="C1615" s="1">
        <v>7.2</v>
      </c>
      <c r="D1615" t="s">
        <v>29</v>
      </c>
    </row>
    <row r="1616" spans="1:4" x14ac:dyDescent="0.25">
      <c r="A1616" t="s">
        <v>80</v>
      </c>
      <c r="B1616" s="2">
        <v>45702</v>
      </c>
      <c r="C1616" s="1">
        <v>7.2</v>
      </c>
      <c r="D1616" t="s">
        <v>29</v>
      </c>
    </row>
    <row r="1617" spans="1:4" x14ac:dyDescent="0.25">
      <c r="A1617" t="s">
        <v>68</v>
      </c>
      <c r="B1617" s="2">
        <v>45708</v>
      </c>
      <c r="C1617" s="1">
        <v>1.48</v>
      </c>
      <c r="D1617" t="s">
        <v>29</v>
      </c>
    </row>
    <row r="1618" spans="1:4" x14ac:dyDescent="0.25">
      <c r="A1618" t="s">
        <v>119</v>
      </c>
      <c r="B1618" s="2">
        <v>45715</v>
      </c>
      <c r="C1618" s="1">
        <v>1.47</v>
      </c>
      <c r="D1618" t="s">
        <v>29</v>
      </c>
    </row>
    <row r="1619" spans="1:4" x14ac:dyDescent="0.25">
      <c r="A1619" t="s">
        <v>73</v>
      </c>
      <c r="B1619" s="2">
        <v>45701</v>
      </c>
      <c r="C1619" s="1">
        <v>0.97</v>
      </c>
      <c r="D1619" t="s">
        <v>29</v>
      </c>
    </row>
    <row r="1620" spans="1:4" x14ac:dyDescent="0.25">
      <c r="A1620" t="s">
        <v>92</v>
      </c>
      <c r="B1620" s="2">
        <v>45691</v>
      </c>
      <c r="C1620" s="1">
        <v>1</v>
      </c>
      <c r="D1620" t="s">
        <v>29</v>
      </c>
    </row>
    <row r="1621" spans="1:4" x14ac:dyDescent="0.25">
      <c r="A1621" t="s">
        <v>93</v>
      </c>
      <c r="B1621" s="2">
        <v>45709</v>
      </c>
      <c r="C1621" s="1">
        <v>0.8</v>
      </c>
      <c r="D1621" t="s">
        <v>29</v>
      </c>
    </row>
    <row r="1622" spans="1:4" x14ac:dyDescent="0.25">
      <c r="A1622" t="s">
        <v>126</v>
      </c>
      <c r="B1622" s="2">
        <v>45703</v>
      </c>
      <c r="C1622" s="1">
        <v>6</v>
      </c>
      <c r="D1622" t="s">
        <v>29</v>
      </c>
    </row>
    <row r="1623" spans="1:4" x14ac:dyDescent="0.25">
      <c r="A1623" t="s">
        <v>130</v>
      </c>
      <c r="B1623" s="2">
        <v>45716</v>
      </c>
      <c r="C1623" s="1">
        <v>0.85</v>
      </c>
      <c r="D1623" t="s">
        <v>29</v>
      </c>
    </row>
    <row r="1624" spans="1:4" x14ac:dyDescent="0.25">
      <c r="A1624" t="s">
        <v>65</v>
      </c>
      <c r="B1624" s="2">
        <v>45691</v>
      </c>
      <c r="C1624" s="1">
        <v>0.78</v>
      </c>
      <c r="D1624" t="s">
        <v>29</v>
      </c>
    </row>
    <row r="1625" spans="1:4" x14ac:dyDescent="0.25">
      <c r="A1625" t="s">
        <v>83</v>
      </c>
      <c r="B1625" s="2">
        <v>45707</v>
      </c>
      <c r="C1625" s="1">
        <v>7.2</v>
      </c>
      <c r="D1625" t="s">
        <v>29</v>
      </c>
    </row>
    <row r="1626" spans="1:4" x14ac:dyDescent="0.25">
      <c r="A1626" t="s">
        <v>104</v>
      </c>
      <c r="B1626" s="2">
        <v>45708</v>
      </c>
      <c r="C1626" s="1">
        <v>7.2</v>
      </c>
      <c r="D1626" t="s">
        <v>29</v>
      </c>
    </row>
    <row r="1627" spans="1:4" x14ac:dyDescent="0.25">
      <c r="A1627" t="s">
        <v>89</v>
      </c>
      <c r="B1627" s="2">
        <v>45709</v>
      </c>
      <c r="C1627" s="1">
        <v>7.2</v>
      </c>
      <c r="D1627" t="s">
        <v>29</v>
      </c>
    </row>
    <row r="1628" spans="1:4" x14ac:dyDescent="0.25">
      <c r="A1628" t="s">
        <v>76</v>
      </c>
      <c r="B1628" s="2">
        <v>45695</v>
      </c>
      <c r="C1628" s="1">
        <v>0.77</v>
      </c>
      <c r="D1628" t="s">
        <v>29</v>
      </c>
    </row>
    <row r="1629" spans="1:4" x14ac:dyDescent="0.25">
      <c r="A1629" t="s">
        <v>84</v>
      </c>
      <c r="B1629" s="2">
        <v>45709</v>
      </c>
      <c r="C1629" s="1">
        <v>7.2</v>
      </c>
      <c r="D1629" t="s">
        <v>29</v>
      </c>
    </row>
    <row r="1630" spans="1:4" x14ac:dyDescent="0.25">
      <c r="A1630" t="s">
        <v>98</v>
      </c>
      <c r="B1630" s="2">
        <v>45702</v>
      </c>
      <c r="C1630" s="1">
        <v>7.6</v>
      </c>
      <c r="D1630" t="s">
        <v>29</v>
      </c>
    </row>
    <row r="1631" spans="1:4" x14ac:dyDescent="0.25">
      <c r="A1631" t="s">
        <v>142</v>
      </c>
      <c r="B1631" s="2">
        <v>45701</v>
      </c>
      <c r="C1631" s="1">
        <v>7.2</v>
      </c>
      <c r="D1631" t="s">
        <v>29</v>
      </c>
    </row>
    <row r="1632" spans="1:4" x14ac:dyDescent="0.25">
      <c r="A1632" t="s">
        <v>87</v>
      </c>
      <c r="B1632" s="2">
        <v>45702</v>
      </c>
      <c r="C1632" s="1">
        <v>7.2</v>
      </c>
      <c r="D1632" t="s">
        <v>29</v>
      </c>
    </row>
    <row r="1633" spans="1:4" x14ac:dyDescent="0.25">
      <c r="A1633" t="s">
        <v>135</v>
      </c>
      <c r="B1633" s="2">
        <v>45696</v>
      </c>
      <c r="C1633" s="1">
        <v>6</v>
      </c>
      <c r="D1633" t="s">
        <v>29</v>
      </c>
    </row>
    <row r="1634" spans="1:4" x14ac:dyDescent="0.25">
      <c r="A1634" t="s">
        <v>98</v>
      </c>
      <c r="B1634" s="2">
        <v>45702</v>
      </c>
      <c r="C1634" s="1">
        <v>6</v>
      </c>
      <c r="D1634" t="s">
        <v>29</v>
      </c>
    </row>
    <row r="1635" spans="1:4" x14ac:dyDescent="0.25">
      <c r="A1635" t="s">
        <v>73</v>
      </c>
      <c r="B1635" s="2">
        <v>45703</v>
      </c>
      <c r="C1635" s="1">
        <v>6</v>
      </c>
      <c r="D1635" t="s">
        <v>29</v>
      </c>
    </row>
    <row r="1636" spans="1:4" x14ac:dyDescent="0.25">
      <c r="A1636" t="s">
        <v>98</v>
      </c>
      <c r="B1636" s="2">
        <v>45715</v>
      </c>
      <c r="C1636" s="1">
        <v>1.98</v>
      </c>
      <c r="D1636" t="s">
        <v>29</v>
      </c>
    </row>
    <row r="1637" spans="1:4" x14ac:dyDescent="0.25">
      <c r="A1637" t="s">
        <v>126</v>
      </c>
      <c r="B1637" s="2">
        <v>45694</v>
      </c>
      <c r="C1637" s="1">
        <v>7.2</v>
      </c>
      <c r="D1637" t="s">
        <v>29</v>
      </c>
    </row>
    <row r="1638" spans="1:4" x14ac:dyDescent="0.25">
      <c r="A1638" t="s">
        <v>147</v>
      </c>
      <c r="B1638" s="2">
        <v>45695</v>
      </c>
      <c r="C1638" s="1">
        <v>7.2</v>
      </c>
      <c r="D1638" t="s">
        <v>29</v>
      </c>
    </row>
    <row r="1639" spans="1:4" x14ac:dyDescent="0.25">
      <c r="A1639" t="s">
        <v>74</v>
      </c>
      <c r="B1639" s="2">
        <v>45714</v>
      </c>
      <c r="C1639" s="1">
        <v>0.93</v>
      </c>
      <c r="D1639" t="s">
        <v>29</v>
      </c>
    </row>
    <row r="1640" spans="1:4" x14ac:dyDescent="0.25">
      <c r="A1640" t="s">
        <v>136</v>
      </c>
      <c r="B1640" s="2">
        <v>45713</v>
      </c>
      <c r="C1640" s="1">
        <v>1.2</v>
      </c>
      <c r="D1640" t="s">
        <v>29</v>
      </c>
    </row>
    <row r="1641" spans="1:4" x14ac:dyDescent="0.25">
      <c r="A1641" t="s">
        <v>82</v>
      </c>
      <c r="B1641" s="2">
        <v>45692</v>
      </c>
      <c r="C1641" s="1">
        <v>7</v>
      </c>
      <c r="D1641" t="s">
        <v>29</v>
      </c>
    </row>
    <row r="1642" spans="1:4" x14ac:dyDescent="0.25">
      <c r="A1642" t="s">
        <v>68</v>
      </c>
      <c r="B1642" s="2">
        <v>45706</v>
      </c>
      <c r="C1642" s="1">
        <v>1.07</v>
      </c>
      <c r="D1642" t="s">
        <v>29</v>
      </c>
    </row>
    <row r="1643" spans="1:4" x14ac:dyDescent="0.25">
      <c r="A1643" t="s">
        <v>99</v>
      </c>
      <c r="B1643" s="2">
        <v>45713</v>
      </c>
      <c r="C1643" s="1">
        <v>6</v>
      </c>
      <c r="D1643" t="s">
        <v>29</v>
      </c>
    </row>
    <row r="1644" spans="1:4" x14ac:dyDescent="0.25">
      <c r="A1644" t="s">
        <v>65</v>
      </c>
      <c r="B1644" s="2">
        <v>45714</v>
      </c>
      <c r="C1644" s="1">
        <v>6</v>
      </c>
      <c r="D1644" t="s">
        <v>29</v>
      </c>
    </row>
    <row r="1645" spans="1:4" x14ac:dyDescent="0.25">
      <c r="A1645" t="s">
        <v>130</v>
      </c>
      <c r="B1645" s="2">
        <v>45715</v>
      </c>
      <c r="C1645" s="1">
        <v>6</v>
      </c>
      <c r="D1645" t="s">
        <v>29</v>
      </c>
    </row>
    <row r="1646" spans="1:4" x14ac:dyDescent="0.25">
      <c r="A1646" t="s">
        <v>132</v>
      </c>
      <c r="B1646" s="2">
        <v>45699</v>
      </c>
      <c r="C1646" s="1">
        <v>7.2</v>
      </c>
      <c r="D1646" t="s">
        <v>29</v>
      </c>
    </row>
    <row r="1647" spans="1:4" x14ac:dyDescent="0.25">
      <c r="A1647" t="s">
        <v>121</v>
      </c>
      <c r="B1647" s="2">
        <v>45702</v>
      </c>
      <c r="C1647" s="1">
        <v>0.9</v>
      </c>
      <c r="D1647" t="s">
        <v>29</v>
      </c>
    </row>
    <row r="1648" spans="1:4" x14ac:dyDescent="0.25">
      <c r="A1648" t="s">
        <v>149</v>
      </c>
      <c r="B1648" s="2">
        <v>45709</v>
      </c>
      <c r="C1648" s="1">
        <v>7.2</v>
      </c>
      <c r="D1648" t="s">
        <v>29</v>
      </c>
    </row>
    <row r="1649" spans="1:4" x14ac:dyDescent="0.25">
      <c r="A1649" t="s">
        <v>121</v>
      </c>
      <c r="B1649" s="2">
        <v>45707</v>
      </c>
      <c r="C1649" s="1">
        <v>7.2</v>
      </c>
      <c r="D1649" t="s">
        <v>29</v>
      </c>
    </row>
    <row r="1650" spans="1:4" x14ac:dyDescent="0.25">
      <c r="A1650" t="s">
        <v>118</v>
      </c>
      <c r="B1650" s="2">
        <v>45692</v>
      </c>
      <c r="C1650" s="1">
        <v>0.78</v>
      </c>
      <c r="D1650" t="s">
        <v>29</v>
      </c>
    </row>
    <row r="1651" spans="1:4" x14ac:dyDescent="0.25">
      <c r="A1651" t="s">
        <v>93</v>
      </c>
      <c r="B1651" s="2">
        <v>45709</v>
      </c>
      <c r="C1651" s="1">
        <v>0.8</v>
      </c>
      <c r="D1651" t="s">
        <v>29</v>
      </c>
    </row>
    <row r="1652" spans="1:4" x14ac:dyDescent="0.25">
      <c r="A1652" t="s">
        <v>118</v>
      </c>
      <c r="B1652" s="2">
        <v>45713</v>
      </c>
      <c r="C1652" s="1">
        <v>6</v>
      </c>
      <c r="D1652" t="s">
        <v>29</v>
      </c>
    </row>
    <row r="1653" spans="1:4" x14ac:dyDescent="0.25">
      <c r="A1653" t="s">
        <v>99</v>
      </c>
      <c r="B1653" s="2">
        <v>45691</v>
      </c>
      <c r="C1653" s="1">
        <v>0.88</v>
      </c>
      <c r="D1653" t="s">
        <v>29</v>
      </c>
    </row>
    <row r="1654" spans="1:4" x14ac:dyDescent="0.25">
      <c r="A1654" t="s">
        <v>100</v>
      </c>
      <c r="B1654" s="2">
        <v>45698</v>
      </c>
      <c r="C1654" s="1">
        <v>0.92</v>
      </c>
      <c r="D1654" t="s">
        <v>29</v>
      </c>
    </row>
    <row r="1655" spans="1:4" x14ac:dyDescent="0.25">
      <c r="A1655" t="s">
        <v>103</v>
      </c>
      <c r="B1655" s="2">
        <v>45705</v>
      </c>
      <c r="C1655" s="1">
        <v>1.6</v>
      </c>
      <c r="D1655" t="s">
        <v>29</v>
      </c>
    </row>
    <row r="1656" spans="1:4" x14ac:dyDescent="0.25">
      <c r="A1656" t="s">
        <v>81</v>
      </c>
      <c r="B1656" s="2">
        <v>45691</v>
      </c>
      <c r="C1656" s="1">
        <v>7.2</v>
      </c>
      <c r="D1656" t="s">
        <v>29</v>
      </c>
    </row>
    <row r="1657" spans="1:4" x14ac:dyDescent="0.25">
      <c r="A1657" t="s">
        <v>120</v>
      </c>
      <c r="B1657" s="2">
        <v>45692</v>
      </c>
      <c r="C1657" s="1">
        <v>7.2</v>
      </c>
      <c r="D1657" t="s">
        <v>29</v>
      </c>
    </row>
    <row r="1658" spans="1:4" x14ac:dyDescent="0.25">
      <c r="A1658" t="s">
        <v>127</v>
      </c>
      <c r="B1658" s="2">
        <v>45702</v>
      </c>
      <c r="C1658" s="1">
        <v>7.2</v>
      </c>
      <c r="D1658" t="s">
        <v>29</v>
      </c>
    </row>
    <row r="1659" spans="1:4" x14ac:dyDescent="0.25">
      <c r="A1659" t="s">
        <v>98</v>
      </c>
      <c r="B1659" s="2">
        <v>45691</v>
      </c>
      <c r="C1659" s="1">
        <v>1.07</v>
      </c>
      <c r="D1659" t="s">
        <v>29</v>
      </c>
    </row>
    <row r="1660" spans="1:4" x14ac:dyDescent="0.25">
      <c r="A1660" t="s">
        <v>79</v>
      </c>
      <c r="B1660" s="2">
        <v>45699</v>
      </c>
      <c r="C1660" s="1">
        <v>0.35</v>
      </c>
      <c r="D1660" t="s">
        <v>29</v>
      </c>
    </row>
    <row r="1661" spans="1:4" x14ac:dyDescent="0.25">
      <c r="A1661" t="s">
        <v>129</v>
      </c>
      <c r="B1661" s="2">
        <v>45701</v>
      </c>
      <c r="C1661" s="1">
        <v>0.4</v>
      </c>
      <c r="D1661" t="s">
        <v>29</v>
      </c>
    </row>
    <row r="1662" spans="1:4" x14ac:dyDescent="0.25">
      <c r="A1662" t="s">
        <v>80</v>
      </c>
      <c r="B1662" s="2">
        <v>45705</v>
      </c>
      <c r="C1662" s="1">
        <v>7.2</v>
      </c>
      <c r="D1662" t="s">
        <v>29</v>
      </c>
    </row>
    <row r="1663" spans="1:4" x14ac:dyDescent="0.25">
      <c r="A1663" t="s">
        <v>76</v>
      </c>
      <c r="B1663" s="2">
        <v>45715</v>
      </c>
      <c r="C1663" s="1">
        <v>1.25</v>
      </c>
      <c r="D1663" t="s">
        <v>29</v>
      </c>
    </row>
    <row r="1664" spans="1:4" x14ac:dyDescent="0.25">
      <c r="A1664" t="s">
        <v>105</v>
      </c>
      <c r="B1664" s="2">
        <v>45709</v>
      </c>
      <c r="C1664" s="1">
        <v>0.52</v>
      </c>
      <c r="D1664" t="s">
        <v>29</v>
      </c>
    </row>
    <row r="1665" spans="1:4" x14ac:dyDescent="0.25">
      <c r="A1665" t="s">
        <v>85</v>
      </c>
      <c r="B1665" s="2">
        <v>45691</v>
      </c>
      <c r="C1665" s="1">
        <v>7.2</v>
      </c>
      <c r="D1665" t="s">
        <v>29</v>
      </c>
    </row>
    <row r="1666" spans="1:4" x14ac:dyDescent="0.25">
      <c r="A1666" t="s">
        <v>65</v>
      </c>
      <c r="B1666" s="2">
        <v>45692</v>
      </c>
      <c r="C1666" s="1">
        <v>7.2</v>
      </c>
      <c r="D1666" t="s">
        <v>29</v>
      </c>
    </row>
    <row r="1667" spans="1:4" x14ac:dyDescent="0.25">
      <c r="A1667" t="s">
        <v>134</v>
      </c>
      <c r="B1667" s="2">
        <v>45694</v>
      </c>
      <c r="C1667" s="1">
        <v>7.2</v>
      </c>
      <c r="D1667" t="s">
        <v>29</v>
      </c>
    </row>
    <row r="1668" spans="1:4" x14ac:dyDescent="0.25">
      <c r="A1668" t="s">
        <v>120</v>
      </c>
      <c r="B1668" s="2">
        <v>45695</v>
      </c>
      <c r="C1668" s="1">
        <v>7.2</v>
      </c>
      <c r="D1668" t="s">
        <v>29</v>
      </c>
    </row>
    <row r="1669" spans="1:4" x14ac:dyDescent="0.25">
      <c r="A1669" t="s">
        <v>139</v>
      </c>
      <c r="B1669" s="2">
        <v>45698</v>
      </c>
      <c r="C1669" s="1">
        <v>7.2</v>
      </c>
      <c r="D1669" t="s">
        <v>29</v>
      </c>
    </row>
    <row r="1670" spans="1:4" x14ac:dyDescent="0.25">
      <c r="A1670" t="s">
        <v>93</v>
      </c>
      <c r="B1670" s="2">
        <v>45694</v>
      </c>
      <c r="C1670" s="1">
        <v>1</v>
      </c>
      <c r="D1670" t="s">
        <v>29</v>
      </c>
    </row>
    <row r="1671" spans="1:4" x14ac:dyDescent="0.25">
      <c r="A1671" t="s">
        <v>93</v>
      </c>
      <c r="B1671" s="2">
        <v>45709</v>
      </c>
      <c r="C1671" s="1">
        <v>7.2</v>
      </c>
      <c r="D1671" t="s">
        <v>29</v>
      </c>
    </row>
    <row r="1672" spans="1:4" x14ac:dyDescent="0.25">
      <c r="A1672" t="s">
        <v>134</v>
      </c>
      <c r="B1672" s="2">
        <v>45698</v>
      </c>
      <c r="C1672" s="1">
        <v>0.23</v>
      </c>
      <c r="D1672" t="s">
        <v>29</v>
      </c>
    </row>
    <row r="1673" spans="1:4" x14ac:dyDescent="0.25">
      <c r="A1673" t="s">
        <v>65</v>
      </c>
      <c r="B1673" s="2">
        <v>45702</v>
      </c>
      <c r="C1673" s="1">
        <v>0.28000000000000003</v>
      </c>
      <c r="D1673" t="s">
        <v>29</v>
      </c>
    </row>
    <row r="1674" spans="1:4" x14ac:dyDescent="0.25">
      <c r="A1674" t="s">
        <v>74</v>
      </c>
      <c r="B1674" s="2">
        <v>45709</v>
      </c>
      <c r="C1674" s="1">
        <v>0.35</v>
      </c>
      <c r="D1674" t="s">
        <v>29</v>
      </c>
    </row>
    <row r="1675" spans="1:4" x14ac:dyDescent="0.25">
      <c r="A1675" t="s">
        <v>80</v>
      </c>
      <c r="B1675" s="2">
        <v>45712</v>
      </c>
      <c r="C1675" s="1">
        <v>0.32</v>
      </c>
      <c r="D1675" t="s">
        <v>29</v>
      </c>
    </row>
    <row r="1676" spans="1:4" x14ac:dyDescent="0.25">
      <c r="C1676" s="1"/>
    </row>
  </sheetData>
  <autoFilter ref="A1:D1675" xr:uid="{00000000-0009-0000-0000-000009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ELENCO!$C:$C</xm:f>
          </x14:formula1>
          <xm:sqref>D2:D1058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2"/>
  <dimension ref="A1:G1134"/>
  <sheetViews>
    <sheetView workbookViewId="0">
      <selection activeCell="D1137" sqref="D1137"/>
    </sheetView>
  </sheetViews>
  <sheetFormatPr defaultRowHeight="15" x14ac:dyDescent="0.25"/>
  <cols>
    <col min="1" max="1" width="40.140625" bestFit="1" customWidth="1"/>
    <col min="2" max="4" width="15.7109375" customWidth="1"/>
  </cols>
  <sheetData>
    <row r="1" spans="1:7" x14ac:dyDescent="0.25">
      <c r="A1" t="s">
        <v>0</v>
      </c>
      <c r="B1" t="s">
        <v>7</v>
      </c>
      <c r="C1" t="s">
        <v>8</v>
      </c>
      <c r="D1" t="s">
        <v>9</v>
      </c>
      <c r="G1" s="1"/>
    </row>
    <row r="2" spans="1:7" x14ac:dyDescent="0.25">
      <c r="A2" t="s">
        <v>84</v>
      </c>
      <c r="B2" s="2">
        <v>45687</v>
      </c>
      <c r="C2">
        <v>7.2</v>
      </c>
      <c r="D2" t="s">
        <v>53</v>
      </c>
    </row>
    <row r="3" spans="1:7" x14ac:dyDescent="0.25">
      <c r="A3" t="s">
        <v>70</v>
      </c>
      <c r="B3" s="2">
        <v>45688</v>
      </c>
      <c r="C3">
        <v>7.2</v>
      </c>
      <c r="D3" t="s">
        <v>53</v>
      </c>
    </row>
    <row r="4" spans="1:7" x14ac:dyDescent="0.25">
      <c r="A4" t="s">
        <v>68</v>
      </c>
      <c r="B4" s="2">
        <v>45671</v>
      </c>
      <c r="C4">
        <v>6</v>
      </c>
      <c r="D4" t="s">
        <v>54</v>
      </c>
    </row>
    <row r="5" spans="1:7" x14ac:dyDescent="0.25">
      <c r="A5" t="s">
        <v>93</v>
      </c>
      <c r="B5" s="2">
        <v>45675</v>
      </c>
      <c r="C5">
        <v>6</v>
      </c>
      <c r="D5" t="s">
        <v>54</v>
      </c>
    </row>
    <row r="6" spans="1:7" x14ac:dyDescent="0.25">
      <c r="A6" t="s">
        <v>112</v>
      </c>
      <c r="B6" s="2">
        <v>45676</v>
      </c>
      <c r="C6">
        <v>6</v>
      </c>
      <c r="D6" t="s">
        <v>54</v>
      </c>
    </row>
    <row r="7" spans="1:7" x14ac:dyDescent="0.25">
      <c r="A7" t="s">
        <v>378</v>
      </c>
      <c r="B7" s="2">
        <v>45677</v>
      </c>
      <c r="C7">
        <v>6</v>
      </c>
      <c r="D7" t="s">
        <v>54</v>
      </c>
    </row>
    <row r="8" spans="1:7" x14ac:dyDescent="0.25">
      <c r="A8" t="s">
        <v>89</v>
      </c>
      <c r="B8" s="2">
        <v>45678</v>
      </c>
      <c r="C8">
        <v>6</v>
      </c>
      <c r="D8" t="s">
        <v>54</v>
      </c>
    </row>
    <row r="9" spans="1:7" x14ac:dyDescent="0.25">
      <c r="A9" t="s">
        <v>94</v>
      </c>
      <c r="B9" s="2">
        <v>45679</v>
      </c>
      <c r="C9">
        <v>6</v>
      </c>
      <c r="D9" t="s">
        <v>54</v>
      </c>
    </row>
    <row r="10" spans="1:7" x14ac:dyDescent="0.25">
      <c r="A10" t="s">
        <v>386</v>
      </c>
      <c r="B10" s="2">
        <v>45681</v>
      </c>
      <c r="C10">
        <v>6</v>
      </c>
      <c r="D10" t="s">
        <v>54</v>
      </c>
    </row>
    <row r="11" spans="1:7" x14ac:dyDescent="0.25">
      <c r="A11" t="s">
        <v>89</v>
      </c>
      <c r="B11" s="2">
        <v>45684</v>
      </c>
      <c r="C11">
        <v>6</v>
      </c>
      <c r="D11" t="s">
        <v>54</v>
      </c>
    </row>
    <row r="12" spans="1:7" x14ac:dyDescent="0.25">
      <c r="A12" t="s">
        <v>89</v>
      </c>
      <c r="B12" s="2">
        <v>45685</v>
      </c>
      <c r="C12">
        <v>6</v>
      </c>
      <c r="D12" t="s">
        <v>54</v>
      </c>
    </row>
    <row r="13" spans="1:7" x14ac:dyDescent="0.25">
      <c r="A13" t="s">
        <v>379</v>
      </c>
      <c r="B13" s="2">
        <v>45686</v>
      </c>
      <c r="C13">
        <v>6</v>
      </c>
      <c r="D13" t="s">
        <v>54</v>
      </c>
    </row>
    <row r="14" spans="1:7" x14ac:dyDescent="0.25">
      <c r="A14" t="s">
        <v>136</v>
      </c>
      <c r="B14" s="2">
        <v>45687</v>
      </c>
      <c r="C14">
        <v>6</v>
      </c>
      <c r="D14" t="s">
        <v>54</v>
      </c>
    </row>
    <row r="15" spans="1:7" x14ac:dyDescent="0.25">
      <c r="A15" t="s">
        <v>70</v>
      </c>
      <c r="B15" s="2">
        <v>45688</v>
      </c>
      <c r="C15">
        <v>6</v>
      </c>
      <c r="D15" t="s">
        <v>54</v>
      </c>
    </row>
    <row r="16" spans="1:7" x14ac:dyDescent="0.25">
      <c r="A16" t="s">
        <v>385</v>
      </c>
      <c r="B16" s="2">
        <v>45664</v>
      </c>
      <c r="C16">
        <v>7.2</v>
      </c>
      <c r="D16" t="s">
        <v>55</v>
      </c>
    </row>
    <row r="17" spans="1:4" x14ac:dyDescent="0.25">
      <c r="A17" t="s">
        <v>381</v>
      </c>
      <c r="B17" s="2">
        <v>45665</v>
      </c>
      <c r="C17">
        <v>7.2</v>
      </c>
      <c r="D17" t="s">
        <v>55</v>
      </c>
    </row>
    <row r="18" spans="1:4" x14ac:dyDescent="0.25">
      <c r="A18" t="s">
        <v>131</v>
      </c>
      <c r="B18" s="2">
        <v>45679</v>
      </c>
      <c r="C18">
        <v>7.2</v>
      </c>
      <c r="D18" t="s">
        <v>55</v>
      </c>
    </row>
    <row r="19" spans="1:4" x14ac:dyDescent="0.25">
      <c r="A19" t="s">
        <v>94</v>
      </c>
      <c r="B19" s="2">
        <v>45680</v>
      </c>
      <c r="C19">
        <v>7.2</v>
      </c>
      <c r="D19" t="s">
        <v>55</v>
      </c>
    </row>
    <row r="20" spans="1:4" x14ac:dyDescent="0.25">
      <c r="A20" t="s">
        <v>131</v>
      </c>
      <c r="B20" s="2">
        <v>45681</v>
      </c>
      <c r="C20">
        <v>7.2</v>
      </c>
      <c r="D20" t="s">
        <v>55</v>
      </c>
    </row>
    <row r="21" spans="1:4" x14ac:dyDescent="0.25">
      <c r="A21" t="s">
        <v>116</v>
      </c>
      <c r="B21" s="2">
        <v>45665</v>
      </c>
      <c r="C21">
        <v>7.2</v>
      </c>
      <c r="D21" t="s">
        <v>55</v>
      </c>
    </row>
    <row r="22" spans="1:4" x14ac:dyDescent="0.25">
      <c r="A22" t="s">
        <v>68</v>
      </c>
      <c r="B22" s="2">
        <v>45666</v>
      </c>
      <c r="C22">
        <v>7.2</v>
      </c>
      <c r="D22" t="s">
        <v>55</v>
      </c>
    </row>
    <row r="23" spans="1:4" x14ac:dyDescent="0.25">
      <c r="A23" t="s">
        <v>105</v>
      </c>
      <c r="B23" s="2">
        <v>45660</v>
      </c>
      <c r="C23">
        <v>7.2</v>
      </c>
      <c r="D23" t="s">
        <v>54</v>
      </c>
    </row>
    <row r="24" spans="1:4" x14ac:dyDescent="0.25">
      <c r="A24" t="s">
        <v>145</v>
      </c>
      <c r="B24" s="2">
        <v>45661</v>
      </c>
      <c r="C24">
        <v>7.2</v>
      </c>
      <c r="D24" t="s">
        <v>54</v>
      </c>
    </row>
    <row r="25" spans="1:4" x14ac:dyDescent="0.25">
      <c r="A25" t="s">
        <v>378</v>
      </c>
      <c r="B25" s="2">
        <v>45665</v>
      </c>
      <c r="C25">
        <v>7.2</v>
      </c>
      <c r="D25" t="s">
        <v>54</v>
      </c>
    </row>
    <row r="26" spans="1:4" x14ac:dyDescent="0.25">
      <c r="A26" t="s">
        <v>113</v>
      </c>
      <c r="B26" s="2">
        <v>45666</v>
      </c>
      <c r="C26">
        <v>7.2</v>
      </c>
      <c r="D26" t="s">
        <v>54</v>
      </c>
    </row>
    <row r="27" spans="1:4" x14ac:dyDescent="0.25">
      <c r="A27" t="s">
        <v>145</v>
      </c>
      <c r="B27" s="2">
        <v>45667</v>
      </c>
      <c r="C27">
        <v>7.2</v>
      </c>
      <c r="D27" t="s">
        <v>54</v>
      </c>
    </row>
    <row r="28" spans="1:4" x14ac:dyDescent="0.25">
      <c r="A28" t="s">
        <v>102</v>
      </c>
      <c r="B28" s="2">
        <v>45668</v>
      </c>
      <c r="C28">
        <v>7.2</v>
      </c>
      <c r="D28" t="s">
        <v>54</v>
      </c>
    </row>
    <row r="29" spans="1:4" x14ac:dyDescent="0.25">
      <c r="A29" t="s">
        <v>95</v>
      </c>
      <c r="B29" s="2">
        <v>45669</v>
      </c>
      <c r="C29">
        <v>7.2</v>
      </c>
      <c r="D29" t="s">
        <v>54</v>
      </c>
    </row>
    <row r="30" spans="1:4" x14ac:dyDescent="0.25">
      <c r="A30" t="s">
        <v>68</v>
      </c>
      <c r="B30" s="2">
        <v>45670</v>
      </c>
      <c r="C30">
        <v>7.2</v>
      </c>
      <c r="D30" t="s">
        <v>54</v>
      </c>
    </row>
    <row r="31" spans="1:4" x14ac:dyDescent="0.25">
      <c r="A31" t="s">
        <v>95</v>
      </c>
      <c r="B31" s="2">
        <v>45671</v>
      </c>
      <c r="C31">
        <v>7.2</v>
      </c>
      <c r="D31" t="s">
        <v>54</v>
      </c>
    </row>
    <row r="32" spans="1:4" x14ac:dyDescent="0.25">
      <c r="A32" t="s">
        <v>134</v>
      </c>
      <c r="B32" s="2">
        <v>45674</v>
      </c>
      <c r="C32">
        <v>7.2</v>
      </c>
      <c r="D32" t="s">
        <v>54</v>
      </c>
    </row>
    <row r="33" spans="1:4" x14ac:dyDescent="0.25">
      <c r="A33" t="s">
        <v>89</v>
      </c>
      <c r="B33" s="2">
        <v>45678</v>
      </c>
      <c r="C33">
        <v>7.2</v>
      </c>
      <c r="D33" t="s">
        <v>54</v>
      </c>
    </row>
    <row r="34" spans="1:4" x14ac:dyDescent="0.25">
      <c r="A34" t="s">
        <v>91</v>
      </c>
      <c r="B34" s="2">
        <v>45679</v>
      </c>
      <c r="C34">
        <v>7.2</v>
      </c>
      <c r="D34" t="s">
        <v>54</v>
      </c>
    </row>
    <row r="35" spans="1:4" x14ac:dyDescent="0.25">
      <c r="A35" t="s">
        <v>384</v>
      </c>
      <c r="B35" s="2">
        <v>45682</v>
      </c>
      <c r="C35">
        <v>7.2</v>
      </c>
      <c r="D35" t="s">
        <v>54</v>
      </c>
    </row>
    <row r="36" spans="1:4" x14ac:dyDescent="0.25">
      <c r="A36" t="s">
        <v>73</v>
      </c>
      <c r="B36" s="2">
        <v>45683</v>
      </c>
      <c r="C36">
        <v>7.2</v>
      </c>
      <c r="D36" t="s">
        <v>54</v>
      </c>
    </row>
    <row r="37" spans="1:4" x14ac:dyDescent="0.25">
      <c r="A37" t="s">
        <v>93</v>
      </c>
      <c r="B37" s="2">
        <v>45684</v>
      </c>
      <c r="C37">
        <v>7.2</v>
      </c>
      <c r="D37" t="s">
        <v>54</v>
      </c>
    </row>
    <row r="38" spans="1:4" x14ac:dyDescent="0.25">
      <c r="A38" t="s">
        <v>125</v>
      </c>
      <c r="B38" s="2">
        <v>45685</v>
      </c>
      <c r="C38">
        <v>7.2</v>
      </c>
      <c r="D38" t="s">
        <v>54</v>
      </c>
    </row>
    <row r="39" spans="1:4" x14ac:dyDescent="0.25">
      <c r="A39" t="s">
        <v>72</v>
      </c>
      <c r="B39" s="2">
        <v>45686</v>
      </c>
      <c r="C39">
        <v>7.2</v>
      </c>
      <c r="D39" t="s">
        <v>54</v>
      </c>
    </row>
    <row r="40" spans="1:4" x14ac:dyDescent="0.25">
      <c r="A40" t="s">
        <v>81</v>
      </c>
      <c r="B40" s="2">
        <v>45688</v>
      </c>
      <c r="C40">
        <v>7.2</v>
      </c>
      <c r="D40" t="s">
        <v>55</v>
      </c>
    </row>
    <row r="41" spans="1:4" x14ac:dyDescent="0.25">
      <c r="A41" t="s">
        <v>84</v>
      </c>
      <c r="B41" s="2">
        <v>45686</v>
      </c>
      <c r="C41">
        <v>7.2</v>
      </c>
      <c r="D41" t="s">
        <v>63</v>
      </c>
    </row>
    <row r="42" spans="1:4" x14ac:dyDescent="0.25">
      <c r="A42" t="s">
        <v>91</v>
      </c>
      <c r="B42" s="2">
        <v>45687</v>
      </c>
      <c r="C42">
        <v>7.2</v>
      </c>
      <c r="D42" t="s">
        <v>63</v>
      </c>
    </row>
    <row r="43" spans="1:4" x14ac:dyDescent="0.25">
      <c r="A43" t="s">
        <v>88</v>
      </c>
      <c r="B43" s="2">
        <v>45688</v>
      </c>
      <c r="C43">
        <v>7.2</v>
      </c>
      <c r="D43" t="s">
        <v>63</v>
      </c>
    </row>
    <row r="44" spans="1:4" x14ac:dyDescent="0.25">
      <c r="A44" t="s">
        <v>135</v>
      </c>
      <c r="B44" s="2">
        <v>45677</v>
      </c>
      <c r="C44">
        <v>7.2</v>
      </c>
      <c r="D44" t="s">
        <v>53</v>
      </c>
    </row>
    <row r="45" spans="1:4" x14ac:dyDescent="0.25">
      <c r="A45" t="s">
        <v>142</v>
      </c>
      <c r="B45" s="2">
        <v>45678</v>
      </c>
      <c r="C45">
        <v>7.2</v>
      </c>
      <c r="D45" t="s">
        <v>53</v>
      </c>
    </row>
    <row r="46" spans="1:4" x14ac:dyDescent="0.25">
      <c r="A46" t="s">
        <v>97</v>
      </c>
      <c r="B46" s="2">
        <v>45687</v>
      </c>
      <c r="C46">
        <v>6</v>
      </c>
      <c r="D46" t="s">
        <v>55</v>
      </c>
    </row>
    <row r="47" spans="1:4" x14ac:dyDescent="0.25">
      <c r="A47" t="s">
        <v>92</v>
      </c>
      <c r="B47" s="2">
        <v>45688</v>
      </c>
      <c r="C47">
        <v>6</v>
      </c>
      <c r="D47" t="s">
        <v>55</v>
      </c>
    </row>
    <row r="48" spans="1:4" x14ac:dyDescent="0.25">
      <c r="A48" t="s">
        <v>381</v>
      </c>
      <c r="B48" s="2">
        <v>45684</v>
      </c>
      <c r="C48">
        <v>7.2</v>
      </c>
      <c r="D48" t="s">
        <v>55</v>
      </c>
    </row>
    <row r="49" spans="1:4" x14ac:dyDescent="0.25">
      <c r="A49" t="s">
        <v>110</v>
      </c>
      <c r="B49" s="2">
        <v>45685</v>
      </c>
      <c r="C49">
        <v>7.2</v>
      </c>
      <c r="D49" t="s">
        <v>55</v>
      </c>
    </row>
    <row r="50" spans="1:4" x14ac:dyDescent="0.25">
      <c r="A50" t="s">
        <v>108</v>
      </c>
      <c r="B50" s="2">
        <v>45687</v>
      </c>
      <c r="C50">
        <v>7.2</v>
      </c>
      <c r="D50" t="s">
        <v>53</v>
      </c>
    </row>
    <row r="51" spans="1:4" x14ac:dyDescent="0.25">
      <c r="A51" t="s">
        <v>88</v>
      </c>
      <c r="B51" s="2">
        <v>45688</v>
      </c>
      <c r="C51">
        <v>7.2</v>
      </c>
      <c r="D51" t="s">
        <v>53</v>
      </c>
    </row>
    <row r="52" spans="1:4" x14ac:dyDescent="0.25">
      <c r="A52" t="s">
        <v>93</v>
      </c>
      <c r="B52" s="2">
        <v>45660</v>
      </c>
      <c r="C52">
        <v>7.2</v>
      </c>
      <c r="D52" t="s">
        <v>54</v>
      </c>
    </row>
    <row r="53" spans="1:4" x14ac:dyDescent="0.25">
      <c r="A53" t="s">
        <v>386</v>
      </c>
      <c r="B53" s="2">
        <v>45664</v>
      </c>
      <c r="C53">
        <v>7.2</v>
      </c>
      <c r="D53" t="s">
        <v>54</v>
      </c>
    </row>
    <row r="54" spans="1:4" x14ac:dyDescent="0.25">
      <c r="A54" t="s">
        <v>118</v>
      </c>
      <c r="B54" s="2">
        <v>45665</v>
      </c>
      <c r="C54">
        <v>7.2</v>
      </c>
      <c r="D54" t="s">
        <v>54</v>
      </c>
    </row>
    <row r="55" spans="1:4" x14ac:dyDescent="0.25">
      <c r="A55" t="s">
        <v>138</v>
      </c>
      <c r="B55" s="2">
        <v>45666</v>
      </c>
      <c r="C55">
        <v>7.2</v>
      </c>
      <c r="D55" t="s">
        <v>54</v>
      </c>
    </row>
    <row r="56" spans="1:4" x14ac:dyDescent="0.25">
      <c r="A56" t="s">
        <v>122</v>
      </c>
      <c r="B56" s="2">
        <v>45667</v>
      </c>
      <c r="C56">
        <v>7.2</v>
      </c>
      <c r="D56" t="s">
        <v>54</v>
      </c>
    </row>
    <row r="57" spans="1:4" x14ac:dyDescent="0.25">
      <c r="A57" t="s">
        <v>92</v>
      </c>
      <c r="B57" s="2">
        <v>45670</v>
      </c>
      <c r="C57">
        <v>7.2</v>
      </c>
      <c r="D57" t="s">
        <v>54</v>
      </c>
    </row>
    <row r="58" spans="1:4" x14ac:dyDescent="0.25">
      <c r="A58" t="s">
        <v>384</v>
      </c>
      <c r="B58" s="2">
        <v>45674</v>
      </c>
      <c r="C58">
        <v>7.2</v>
      </c>
      <c r="D58" t="s">
        <v>54</v>
      </c>
    </row>
    <row r="59" spans="1:4" x14ac:dyDescent="0.25">
      <c r="A59" t="s">
        <v>122</v>
      </c>
      <c r="B59" s="2">
        <v>45677</v>
      </c>
      <c r="C59">
        <v>7.2</v>
      </c>
      <c r="D59" t="s">
        <v>54</v>
      </c>
    </row>
    <row r="60" spans="1:4" x14ac:dyDescent="0.25">
      <c r="A60" t="s">
        <v>92</v>
      </c>
      <c r="B60" s="2">
        <v>45679</v>
      </c>
      <c r="C60">
        <v>7.2</v>
      </c>
      <c r="D60" t="s">
        <v>54</v>
      </c>
    </row>
    <row r="61" spans="1:4" x14ac:dyDescent="0.25">
      <c r="A61" t="s">
        <v>387</v>
      </c>
      <c r="B61" s="2">
        <v>45680</v>
      </c>
      <c r="C61">
        <v>7.2</v>
      </c>
      <c r="D61" t="s">
        <v>54</v>
      </c>
    </row>
    <row r="62" spans="1:4" x14ac:dyDescent="0.25">
      <c r="A62" t="s">
        <v>91</v>
      </c>
      <c r="B62" s="2">
        <v>45681</v>
      </c>
      <c r="C62">
        <v>7.2</v>
      </c>
      <c r="D62" t="s">
        <v>54</v>
      </c>
    </row>
    <row r="63" spans="1:4" x14ac:dyDescent="0.25">
      <c r="A63" t="s">
        <v>65</v>
      </c>
      <c r="B63" s="2">
        <v>45685</v>
      </c>
      <c r="C63">
        <v>7.2</v>
      </c>
      <c r="D63" t="s">
        <v>54</v>
      </c>
    </row>
    <row r="64" spans="1:4" x14ac:dyDescent="0.25">
      <c r="A64" t="s">
        <v>147</v>
      </c>
      <c r="B64" s="2">
        <v>45686</v>
      </c>
      <c r="C64">
        <v>7.2</v>
      </c>
      <c r="D64" t="s">
        <v>54</v>
      </c>
    </row>
    <row r="65" spans="1:4" x14ac:dyDescent="0.25">
      <c r="A65" t="s">
        <v>116</v>
      </c>
      <c r="B65" s="2">
        <v>45687</v>
      </c>
      <c r="C65">
        <v>7.2</v>
      </c>
      <c r="D65" t="s">
        <v>54</v>
      </c>
    </row>
    <row r="66" spans="1:4" x14ac:dyDescent="0.25">
      <c r="A66" t="s">
        <v>128</v>
      </c>
      <c r="B66" s="2">
        <v>45688</v>
      </c>
      <c r="C66">
        <v>7.2</v>
      </c>
      <c r="D66" t="s">
        <v>54</v>
      </c>
    </row>
    <row r="67" spans="1:4" x14ac:dyDescent="0.25">
      <c r="A67" t="s">
        <v>137</v>
      </c>
      <c r="B67" s="2">
        <v>45671</v>
      </c>
      <c r="C67">
        <v>7.2</v>
      </c>
      <c r="D67" t="s">
        <v>55</v>
      </c>
    </row>
    <row r="68" spans="1:4" x14ac:dyDescent="0.25">
      <c r="A68" t="s">
        <v>386</v>
      </c>
      <c r="B68" s="2">
        <v>45672</v>
      </c>
      <c r="C68">
        <v>7.2</v>
      </c>
      <c r="D68" t="s">
        <v>55</v>
      </c>
    </row>
    <row r="69" spans="1:4" x14ac:dyDescent="0.25">
      <c r="A69" t="s">
        <v>96</v>
      </c>
      <c r="B69" s="2">
        <v>45673</v>
      </c>
      <c r="C69">
        <v>7.2</v>
      </c>
      <c r="D69" t="s">
        <v>55</v>
      </c>
    </row>
    <row r="70" spans="1:4" x14ac:dyDescent="0.25">
      <c r="A70" t="s">
        <v>88</v>
      </c>
      <c r="B70" s="2">
        <v>45674</v>
      </c>
      <c r="C70">
        <v>7.2</v>
      </c>
      <c r="D70" t="s">
        <v>55</v>
      </c>
    </row>
    <row r="71" spans="1:4" x14ac:dyDescent="0.25">
      <c r="A71" t="s">
        <v>114</v>
      </c>
      <c r="B71" s="2">
        <v>45664</v>
      </c>
      <c r="C71">
        <v>7.2</v>
      </c>
      <c r="D71" t="s">
        <v>55</v>
      </c>
    </row>
    <row r="72" spans="1:4" x14ac:dyDescent="0.25">
      <c r="A72" t="s">
        <v>107</v>
      </c>
      <c r="B72" s="2">
        <v>45665</v>
      </c>
      <c r="C72">
        <v>7.2</v>
      </c>
      <c r="D72" t="s">
        <v>55</v>
      </c>
    </row>
    <row r="73" spans="1:4" x14ac:dyDescent="0.25">
      <c r="A73" t="s">
        <v>87</v>
      </c>
      <c r="B73" s="2">
        <v>45677</v>
      </c>
      <c r="C73">
        <v>7.2</v>
      </c>
      <c r="D73" t="s">
        <v>55</v>
      </c>
    </row>
    <row r="74" spans="1:4" x14ac:dyDescent="0.25">
      <c r="A74" t="s">
        <v>91</v>
      </c>
      <c r="B74" s="2">
        <v>45678</v>
      </c>
      <c r="C74">
        <v>7.2</v>
      </c>
      <c r="D74" t="s">
        <v>55</v>
      </c>
    </row>
    <row r="75" spans="1:4" x14ac:dyDescent="0.25">
      <c r="A75" t="s">
        <v>114</v>
      </c>
      <c r="B75" s="2">
        <v>45684</v>
      </c>
      <c r="C75">
        <v>7.2</v>
      </c>
      <c r="D75" t="s">
        <v>53</v>
      </c>
    </row>
    <row r="76" spans="1:4" x14ac:dyDescent="0.25">
      <c r="A76" t="s">
        <v>124</v>
      </c>
      <c r="B76" s="2">
        <v>45685</v>
      </c>
      <c r="C76">
        <v>7.2</v>
      </c>
      <c r="D76" t="s">
        <v>53</v>
      </c>
    </row>
    <row r="77" spans="1:4" x14ac:dyDescent="0.25">
      <c r="A77" t="s">
        <v>117</v>
      </c>
      <c r="B77" s="2">
        <v>45686</v>
      </c>
      <c r="C77">
        <v>7.2</v>
      </c>
      <c r="D77" t="s">
        <v>53</v>
      </c>
    </row>
    <row r="78" spans="1:4" x14ac:dyDescent="0.25">
      <c r="A78" t="s">
        <v>74</v>
      </c>
      <c r="B78" s="2">
        <v>45687</v>
      </c>
      <c r="C78">
        <v>7.2</v>
      </c>
      <c r="D78" t="s">
        <v>53</v>
      </c>
    </row>
    <row r="79" spans="1:4" x14ac:dyDescent="0.25">
      <c r="A79" t="s">
        <v>84</v>
      </c>
      <c r="B79" s="2">
        <v>45688</v>
      </c>
      <c r="C79">
        <v>7.2</v>
      </c>
      <c r="D79" t="s">
        <v>53</v>
      </c>
    </row>
    <row r="80" spans="1:4" x14ac:dyDescent="0.25">
      <c r="A80" t="s">
        <v>80</v>
      </c>
      <c r="B80" s="2">
        <v>45673</v>
      </c>
      <c r="C80">
        <v>7.2</v>
      </c>
      <c r="D80" t="s">
        <v>55</v>
      </c>
    </row>
    <row r="81" spans="1:4" x14ac:dyDescent="0.25">
      <c r="A81" t="s">
        <v>383</v>
      </c>
      <c r="B81" s="2">
        <v>45687</v>
      </c>
      <c r="C81">
        <v>7.2</v>
      </c>
      <c r="D81" t="s">
        <v>55</v>
      </c>
    </row>
    <row r="82" spans="1:4" x14ac:dyDescent="0.25">
      <c r="A82" t="s">
        <v>129</v>
      </c>
      <c r="B82" s="2">
        <v>45688</v>
      </c>
      <c r="C82">
        <v>7.2</v>
      </c>
      <c r="D82" t="s">
        <v>55</v>
      </c>
    </row>
    <row r="83" spans="1:4" x14ac:dyDescent="0.25">
      <c r="A83" t="s">
        <v>100</v>
      </c>
      <c r="B83" s="2">
        <v>45685</v>
      </c>
      <c r="C83">
        <v>7.2</v>
      </c>
      <c r="D83" t="s">
        <v>53</v>
      </c>
    </row>
    <row r="84" spans="1:4" x14ac:dyDescent="0.25">
      <c r="A84" t="s">
        <v>79</v>
      </c>
      <c r="B84" s="2">
        <v>45659</v>
      </c>
      <c r="C84">
        <v>6</v>
      </c>
      <c r="D84" t="s">
        <v>55</v>
      </c>
    </row>
    <row r="85" spans="1:4" x14ac:dyDescent="0.25">
      <c r="A85" t="s">
        <v>112</v>
      </c>
      <c r="B85" s="2">
        <v>45660</v>
      </c>
      <c r="C85">
        <v>6</v>
      </c>
      <c r="D85" t="s">
        <v>55</v>
      </c>
    </row>
    <row r="86" spans="1:4" x14ac:dyDescent="0.25">
      <c r="A86" t="s">
        <v>142</v>
      </c>
      <c r="B86" s="2">
        <v>45684</v>
      </c>
      <c r="C86">
        <v>7.2</v>
      </c>
      <c r="D86" t="s">
        <v>55</v>
      </c>
    </row>
    <row r="87" spans="1:4" x14ac:dyDescent="0.25">
      <c r="A87" t="s">
        <v>66</v>
      </c>
      <c r="B87" s="2">
        <v>45685</v>
      </c>
      <c r="C87">
        <v>7.2</v>
      </c>
      <c r="D87" t="s">
        <v>55</v>
      </c>
    </row>
    <row r="88" spans="1:4" x14ac:dyDescent="0.25">
      <c r="A88" t="s">
        <v>379</v>
      </c>
      <c r="B88" s="2">
        <v>45686</v>
      </c>
      <c r="C88">
        <v>7.2</v>
      </c>
      <c r="D88" t="s">
        <v>55</v>
      </c>
    </row>
    <row r="89" spans="1:4" x14ac:dyDescent="0.25">
      <c r="A89" t="s">
        <v>103</v>
      </c>
      <c r="B89" s="2">
        <v>45687</v>
      </c>
      <c r="C89">
        <v>7.2</v>
      </c>
      <c r="D89" t="s">
        <v>55</v>
      </c>
    </row>
    <row r="90" spans="1:4" x14ac:dyDescent="0.25">
      <c r="A90" t="s">
        <v>108</v>
      </c>
      <c r="B90" s="2">
        <v>45688</v>
      </c>
      <c r="C90">
        <v>7.2</v>
      </c>
      <c r="D90" t="s">
        <v>55</v>
      </c>
    </row>
    <row r="91" spans="1:4" x14ac:dyDescent="0.25">
      <c r="A91" t="s">
        <v>142</v>
      </c>
      <c r="B91" s="2">
        <v>45679</v>
      </c>
      <c r="C91">
        <v>7.2</v>
      </c>
      <c r="D91" t="s">
        <v>55</v>
      </c>
    </row>
    <row r="92" spans="1:4" x14ac:dyDescent="0.25">
      <c r="A92" t="s">
        <v>117</v>
      </c>
      <c r="B92" s="2">
        <v>45680</v>
      </c>
      <c r="C92">
        <v>7.2</v>
      </c>
      <c r="D92" t="s">
        <v>55</v>
      </c>
    </row>
    <row r="93" spans="1:4" x14ac:dyDescent="0.25">
      <c r="A93" t="s">
        <v>116</v>
      </c>
      <c r="B93" s="2">
        <v>45681</v>
      </c>
      <c r="C93">
        <v>7.2</v>
      </c>
      <c r="D93" t="s">
        <v>55</v>
      </c>
    </row>
    <row r="94" spans="1:4" x14ac:dyDescent="0.25">
      <c r="A94" t="s">
        <v>98</v>
      </c>
      <c r="B94" s="2">
        <v>45670</v>
      </c>
      <c r="C94">
        <v>7.2</v>
      </c>
      <c r="D94" t="s">
        <v>55</v>
      </c>
    </row>
    <row r="95" spans="1:4" x14ac:dyDescent="0.25">
      <c r="A95" t="s">
        <v>126</v>
      </c>
      <c r="B95" s="2">
        <v>45671</v>
      </c>
      <c r="C95">
        <v>7.2</v>
      </c>
      <c r="D95" t="s">
        <v>55</v>
      </c>
    </row>
    <row r="96" spans="1:4" x14ac:dyDescent="0.25">
      <c r="A96" t="s">
        <v>117</v>
      </c>
      <c r="B96" s="2">
        <v>45672</v>
      </c>
      <c r="C96">
        <v>7.2</v>
      </c>
      <c r="D96" t="s">
        <v>55</v>
      </c>
    </row>
    <row r="97" spans="1:4" x14ac:dyDescent="0.25">
      <c r="A97" t="s">
        <v>117</v>
      </c>
      <c r="B97" s="2">
        <v>45674</v>
      </c>
      <c r="C97">
        <v>7.2</v>
      </c>
      <c r="D97" t="s">
        <v>53</v>
      </c>
    </row>
    <row r="98" spans="1:4" x14ac:dyDescent="0.25">
      <c r="A98" t="s">
        <v>116</v>
      </c>
      <c r="B98" s="2">
        <v>45673</v>
      </c>
      <c r="C98">
        <v>7.2</v>
      </c>
      <c r="D98" t="s">
        <v>55</v>
      </c>
    </row>
    <row r="99" spans="1:4" x14ac:dyDescent="0.25">
      <c r="A99" t="s">
        <v>87</v>
      </c>
      <c r="B99" s="2">
        <v>45674</v>
      </c>
      <c r="C99">
        <v>7.2</v>
      </c>
      <c r="D99" t="s">
        <v>55</v>
      </c>
    </row>
    <row r="100" spans="1:4" x14ac:dyDescent="0.25">
      <c r="A100" t="s">
        <v>130</v>
      </c>
      <c r="B100" s="2">
        <v>45668</v>
      </c>
      <c r="C100">
        <v>7</v>
      </c>
      <c r="D100" t="s">
        <v>55</v>
      </c>
    </row>
    <row r="101" spans="1:4" x14ac:dyDescent="0.25">
      <c r="A101" t="s">
        <v>65</v>
      </c>
      <c r="B101" s="2">
        <v>45659</v>
      </c>
      <c r="C101">
        <v>6</v>
      </c>
      <c r="D101" t="s">
        <v>54</v>
      </c>
    </row>
    <row r="102" spans="1:4" x14ac:dyDescent="0.25">
      <c r="A102" t="s">
        <v>386</v>
      </c>
      <c r="B102" s="2">
        <v>45665</v>
      </c>
      <c r="C102">
        <v>6</v>
      </c>
      <c r="D102" t="s">
        <v>54</v>
      </c>
    </row>
    <row r="103" spans="1:4" x14ac:dyDescent="0.25">
      <c r="A103" t="s">
        <v>113</v>
      </c>
      <c r="B103" s="2">
        <v>45666</v>
      </c>
      <c r="C103">
        <v>6</v>
      </c>
      <c r="D103" t="s">
        <v>54</v>
      </c>
    </row>
    <row r="104" spans="1:4" x14ac:dyDescent="0.25">
      <c r="A104" t="s">
        <v>147</v>
      </c>
      <c r="B104" s="2">
        <v>45667</v>
      </c>
      <c r="C104">
        <v>6</v>
      </c>
      <c r="D104" t="s">
        <v>54</v>
      </c>
    </row>
    <row r="105" spans="1:4" x14ac:dyDescent="0.25">
      <c r="A105" t="s">
        <v>105</v>
      </c>
      <c r="B105" s="2">
        <v>45668</v>
      </c>
      <c r="C105">
        <v>6</v>
      </c>
      <c r="D105" t="s">
        <v>54</v>
      </c>
    </row>
    <row r="106" spans="1:4" x14ac:dyDescent="0.25">
      <c r="A106" t="s">
        <v>112</v>
      </c>
      <c r="B106" s="2">
        <v>45669</v>
      </c>
      <c r="C106">
        <v>6</v>
      </c>
      <c r="D106" t="s">
        <v>54</v>
      </c>
    </row>
    <row r="107" spans="1:4" x14ac:dyDescent="0.25">
      <c r="A107" t="s">
        <v>377</v>
      </c>
      <c r="B107" s="2">
        <v>45670</v>
      </c>
      <c r="C107">
        <v>6</v>
      </c>
      <c r="D107" t="s">
        <v>54</v>
      </c>
    </row>
    <row r="108" spans="1:4" x14ac:dyDescent="0.25">
      <c r="A108" t="s">
        <v>91</v>
      </c>
      <c r="B108" s="2">
        <v>45672</v>
      </c>
      <c r="C108">
        <v>6</v>
      </c>
      <c r="D108" t="s">
        <v>54</v>
      </c>
    </row>
    <row r="109" spans="1:4" x14ac:dyDescent="0.25">
      <c r="A109" t="s">
        <v>94</v>
      </c>
      <c r="B109" s="2">
        <v>45681</v>
      </c>
      <c r="C109">
        <v>6</v>
      </c>
      <c r="D109" t="s">
        <v>54</v>
      </c>
    </row>
    <row r="110" spans="1:4" x14ac:dyDescent="0.25">
      <c r="A110" t="s">
        <v>120</v>
      </c>
      <c r="B110" s="2">
        <v>45683</v>
      </c>
      <c r="C110">
        <v>6</v>
      </c>
      <c r="D110" t="s">
        <v>54</v>
      </c>
    </row>
    <row r="111" spans="1:4" x14ac:dyDescent="0.25">
      <c r="A111" t="s">
        <v>112</v>
      </c>
      <c r="B111" s="2">
        <v>45684</v>
      </c>
      <c r="C111">
        <v>6</v>
      </c>
      <c r="D111" t="s">
        <v>54</v>
      </c>
    </row>
    <row r="112" spans="1:4" x14ac:dyDescent="0.25">
      <c r="A112" t="s">
        <v>64</v>
      </c>
      <c r="B112" s="2">
        <v>45687</v>
      </c>
      <c r="C112">
        <v>6</v>
      </c>
      <c r="D112" t="s">
        <v>54</v>
      </c>
    </row>
    <row r="113" spans="1:4" x14ac:dyDescent="0.25">
      <c r="A113" t="s">
        <v>134</v>
      </c>
      <c r="B113" s="2">
        <v>45688</v>
      </c>
      <c r="C113">
        <v>6</v>
      </c>
      <c r="D113" t="s">
        <v>54</v>
      </c>
    </row>
    <row r="114" spans="1:4" x14ac:dyDescent="0.25">
      <c r="A114" t="s">
        <v>145</v>
      </c>
      <c r="B114" s="2">
        <v>45670</v>
      </c>
      <c r="C114">
        <v>7.2</v>
      </c>
      <c r="D114" t="s">
        <v>53</v>
      </c>
    </row>
    <row r="115" spans="1:4" x14ac:dyDescent="0.25">
      <c r="A115" t="s">
        <v>138</v>
      </c>
      <c r="B115" s="2">
        <v>45671</v>
      </c>
      <c r="C115">
        <v>7.2</v>
      </c>
      <c r="D115" t="s">
        <v>53</v>
      </c>
    </row>
    <row r="116" spans="1:4" x14ac:dyDescent="0.25">
      <c r="A116" t="s">
        <v>113</v>
      </c>
      <c r="B116" s="2">
        <v>45672</v>
      </c>
      <c r="C116">
        <v>7.2</v>
      </c>
      <c r="D116" t="s">
        <v>53</v>
      </c>
    </row>
    <row r="117" spans="1:4" x14ac:dyDescent="0.25">
      <c r="A117" t="s">
        <v>88</v>
      </c>
      <c r="B117" s="2">
        <v>45673</v>
      </c>
      <c r="C117">
        <v>7.2</v>
      </c>
      <c r="D117" t="s">
        <v>53</v>
      </c>
    </row>
    <row r="118" spans="1:4" x14ac:dyDescent="0.25">
      <c r="A118" t="s">
        <v>118</v>
      </c>
      <c r="B118" s="2">
        <v>45674</v>
      </c>
      <c r="C118">
        <v>7.2</v>
      </c>
      <c r="D118" t="s">
        <v>53</v>
      </c>
    </row>
    <row r="119" spans="1:4" x14ac:dyDescent="0.25">
      <c r="A119" t="s">
        <v>70</v>
      </c>
      <c r="B119" s="2">
        <v>45677</v>
      </c>
      <c r="C119">
        <v>7.2</v>
      </c>
      <c r="D119" t="s">
        <v>53</v>
      </c>
    </row>
    <row r="120" spans="1:4" x14ac:dyDescent="0.25">
      <c r="A120" t="s">
        <v>96</v>
      </c>
      <c r="B120" s="2">
        <v>45678</v>
      </c>
      <c r="C120">
        <v>7.2</v>
      </c>
      <c r="D120" t="s">
        <v>53</v>
      </c>
    </row>
    <row r="121" spans="1:4" x14ac:dyDescent="0.25">
      <c r="A121" t="s">
        <v>126</v>
      </c>
      <c r="B121" s="2">
        <v>45679</v>
      </c>
      <c r="C121">
        <v>7.2</v>
      </c>
      <c r="D121" t="s">
        <v>53</v>
      </c>
    </row>
    <row r="122" spans="1:4" x14ac:dyDescent="0.25">
      <c r="A122" t="s">
        <v>91</v>
      </c>
      <c r="B122" s="2">
        <v>45680</v>
      </c>
      <c r="C122">
        <v>7.2</v>
      </c>
      <c r="D122" t="s">
        <v>53</v>
      </c>
    </row>
    <row r="123" spans="1:4" x14ac:dyDescent="0.25">
      <c r="A123" t="s">
        <v>104</v>
      </c>
      <c r="B123" s="2">
        <v>45681</v>
      </c>
      <c r="C123">
        <v>7.2</v>
      </c>
      <c r="D123" t="s">
        <v>53</v>
      </c>
    </row>
    <row r="124" spans="1:4" x14ac:dyDescent="0.25">
      <c r="A124" t="s">
        <v>68</v>
      </c>
      <c r="B124" s="2">
        <v>45671</v>
      </c>
      <c r="C124">
        <v>7.2</v>
      </c>
      <c r="D124" t="s">
        <v>55</v>
      </c>
    </row>
    <row r="125" spans="1:4" x14ac:dyDescent="0.25">
      <c r="A125" t="s">
        <v>109</v>
      </c>
      <c r="B125" s="2">
        <v>45686</v>
      </c>
      <c r="C125">
        <v>7.2</v>
      </c>
      <c r="D125" t="s">
        <v>55</v>
      </c>
    </row>
    <row r="126" spans="1:4" x14ac:dyDescent="0.25">
      <c r="A126" t="s">
        <v>128</v>
      </c>
      <c r="B126" s="2">
        <v>45659</v>
      </c>
      <c r="C126">
        <v>6</v>
      </c>
      <c r="D126" t="s">
        <v>54</v>
      </c>
    </row>
    <row r="127" spans="1:4" x14ac:dyDescent="0.25">
      <c r="A127" t="s">
        <v>136</v>
      </c>
      <c r="B127" s="2">
        <v>45660</v>
      </c>
      <c r="C127">
        <v>6</v>
      </c>
      <c r="D127" t="s">
        <v>54</v>
      </c>
    </row>
    <row r="128" spans="1:4" x14ac:dyDescent="0.25">
      <c r="A128" t="s">
        <v>134</v>
      </c>
      <c r="B128" s="2">
        <v>45667</v>
      </c>
      <c r="C128">
        <v>6</v>
      </c>
      <c r="D128" t="s">
        <v>54</v>
      </c>
    </row>
    <row r="129" spans="1:4" x14ac:dyDescent="0.25">
      <c r="A129" t="s">
        <v>68</v>
      </c>
      <c r="B129" s="2">
        <v>45672</v>
      </c>
      <c r="C129">
        <v>6</v>
      </c>
      <c r="D129" t="s">
        <v>54</v>
      </c>
    </row>
    <row r="130" spans="1:4" x14ac:dyDescent="0.25">
      <c r="A130" t="s">
        <v>94</v>
      </c>
      <c r="B130" s="2">
        <v>45677</v>
      </c>
      <c r="C130">
        <v>6</v>
      </c>
      <c r="D130" t="s">
        <v>54</v>
      </c>
    </row>
    <row r="131" spans="1:4" x14ac:dyDescent="0.25">
      <c r="A131" t="s">
        <v>379</v>
      </c>
      <c r="B131" s="2">
        <v>45680</v>
      </c>
      <c r="C131">
        <v>6</v>
      </c>
      <c r="D131" t="s">
        <v>54</v>
      </c>
    </row>
    <row r="132" spans="1:4" x14ac:dyDescent="0.25">
      <c r="A132" t="s">
        <v>92</v>
      </c>
      <c r="B132" s="2">
        <v>45681</v>
      </c>
      <c r="C132">
        <v>6</v>
      </c>
      <c r="D132" t="s">
        <v>54</v>
      </c>
    </row>
    <row r="133" spans="1:4" x14ac:dyDescent="0.25">
      <c r="A133" t="s">
        <v>91</v>
      </c>
      <c r="B133" s="2">
        <v>45684</v>
      </c>
      <c r="C133">
        <v>6</v>
      </c>
      <c r="D133" t="s">
        <v>54</v>
      </c>
    </row>
    <row r="134" spans="1:4" x14ac:dyDescent="0.25">
      <c r="A134" t="s">
        <v>384</v>
      </c>
      <c r="B134" s="2">
        <v>45685</v>
      </c>
      <c r="C134">
        <v>6</v>
      </c>
      <c r="D134" t="s">
        <v>54</v>
      </c>
    </row>
    <row r="135" spans="1:4" x14ac:dyDescent="0.25">
      <c r="A135" t="s">
        <v>88</v>
      </c>
      <c r="B135" s="2">
        <v>45686</v>
      </c>
      <c r="C135">
        <v>6</v>
      </c>
      <c r="D135" t="s">
        <v>54</v>
      </c>
    </row>
    <row r="136" spans="1:4" x14ac:dyDescent="0.25">
      <c r="A136" t="s">
        <v>131</v>
      </c>
      <c r="B136" s="2">
        <v>45688</v>
      </c>
      <c r="C136">
        <v>6</v>
      </c>
      <c r="D136" t="s">
        <v>54</v>
      </c>
    </row>
    <row r="137" spans="1:4" x14ac:dyDescent="0.25">
      <c r="A137" t="s">
        <v>93</v>
      </c>
      <c r="B137" s="2">
        <v>45665</v>
      </c>
      <c r="C137">
        <v>7.2</v>
      </c>
      <c r="D137" t="s">
        <v>55</v>
      </c>
    </row>
    <row r="138" spans="1:4" x14ac:dyDescent="0.25">
      <c r="A138" t="s">
        <v>129</v>
      </c>
      <c r="B138" s="2">
        <v>45666</v>
      </c>
      <c r="C138">
        <v>7.2</v>
      </c>
      <c r="D138" t="s">
        <v>55</v>
      </c>
    </row>
    <row r="139" spans="1:4" x14ac:dyDescent="0.25">
      <c r="A139" t="s">
        <v>89</v>
      </c>
      <c r="B139" s="2">
        <v>45677</v>
      </c>
      <c r="C139">
        <v>7.2</v>
      </c>
      <c r="D139" t="s">
        <v>55</v>
      </c>
    </row>
    <row r="140" spans="1:4" x14ac:dyDescent="0.25">
      <c r="A140" t="s">
        <v>91</v>
      </c>
      <c r="B140" s="2">
        <v>45678</v>
      </c>
      <c r="C140">
        <v>7.2</v>
      </c>
      <c r="D140" t="s">
        <v>55</v>
      </c>
    </row>
    <row r="141" spans="1:4" x14ac:dyDescent="0.25">
      <c r="A141" t="s">
        <v>378</v>
      </c>
      <c r="B141" s="2">
        <v>45688</v>
      </c>
      <c r="C141">
        <v>7</v>
      </c>
      <c r="D141" t="s">
        <v>55</v>
      </c>
    </row>
    <row r="142" spans="1:4" x14ac:dyDescent="0.25">
      <c r="A142" t="s">
        <v>145</v>
      </c>
      <c r="B142" s="2">
        <v>45670</v>
      </c>
      <c r="C142">
        <v>7</v>
      </c>
      <c r="D142" t="s">
        <v>55</v>
      </c>
    </row>
    <row r="143" spans="1:4" x14ac:dyDescent="0.25">
      <c r="A143" t="s">
        <v>100</v>
      </c>
      <c r="B143" s="2">
        <v>45671</v>
      </c>
      <c r="C143">
        <v>7.2</v>
      </c>
      <c r="D143" t="s">
        <v>55</v>
      </c>
    </row>
    <row r="144" spans="1:4" x14ac:dyDescent="0.25">
      <c r="A144" t="s">
        <v>129</v>
      </c>
      <c r="B144" s="2">
        <v>45672</v>
      </c>
      <c r="C144">
        <v>7</v>
      </c>
      <c r="D144" t="s">
        <v>55</v>
      </c>
    </row>
    <row r="145" spans="1:4" x14ac:dyDescent="0.25">
      <c r="A145" t="s">
        <v>83</v>
      </c>
      <c r="B145" s="2">
        <v>45673</v>
      </c>
      <c r="C145">
        <v>7</v>
      </c>
      <c r="D145" t="s">
        <v>55</v>
      </c>
    </row>
    <row r="146" spans="1:4" x14ac:dyDescent="0.25">
      <c r="A146" t="s">
        <v>383</v>
      </c>
      <c r="B146" s="2">
        <v>45674</v>
      </c>
      <c r="C146">
        <v>7</v>
      </c>
      <c r="D146" t="s">
        <v>55</v>
      </c>
    </row>
    <row r="147" spans="1:4" x14ac:dyDescent="0.25">
      <c r="A147" t="s">
        <v>120</v>
      </c>
      <c r="B147" s="2">
        <v>45666</v>
      </c>
      <c r="C147">
        <v>6</v>
      </c>
      <c r="D147" t="s">
        <v>55</v>
      </c>
    </row>
    <row r="148" spans="1:4" x14ac:dyDescent="0.25">
      <c r="A148" t="s">
        <v>77</v>
      </c>
      <c r="B148" s="2">
        <v>45667</v>
      </c>
      <c r="C148">
        <v>6</v>
      </c>
      <c r="D148" t="s">
        <v>55</v>
      </c>
    </row>
    <row r="149" spans="1:4" x14ac:dyDescent="0.25">
      <c r="A149" t="s">
        <v>134</v>
      </c>
      <c r="B149" s="2">
        <v>45685</v>
      </c>
      <c r="C149">
        <v>7.2</v>
      </c>
      <c r="D149" t="s">
        <v>55</v>
      </c>
    </row>
    <row r="150" spans="1:4" x14ac:dyDescent="0.25">
      <c r="A150" t="s">
        <v>130</v>
      </c>
      <c r="B150" s="2">
        <v>45674</v>
      </c>
      <c r="C150">
        <v>7.2</v>
      </c>
      <c r="D150" t="s">
        <v>55</v>
      </c>
    </row>
    <row r="151" spans="1:4" x14ac:dyDescent="0.25">
      <c r="A151" t="s">
        <v>91</v>
      </c>
      <c r="B151" s="2">
        <v>45682</v>
      </c>
      <c r="C151">
        <v>7.2</v>
      </c>
      <c r="D151" t="s">
        <v>55</v>
      </c>
    </row>
    <row r="152" spans="1:4" x14ac:dyDescent="0.25">
      <c r="A152" t="s">
        <v>385</v>
      </c>
      <c r="B152" s="2">
        <v>45684</v>
      </c>
      <c r="C152">
        <v>7.2</v>
      </c>
      <c r="D152" t="s">
        <v>55</v>
      </c>
    </row>
    <row r="153" spans="1:4" x14ac:dyDescent="0.25">
      <c r="A153" t="s">
        <v>68</v>
      </c>
      <c r="B153" s="2">
        <v>45685</v>
      </c>
      <c r="C153">
        <v>7.2</v>
      </c>
      <c r="D153" t="s">
        <v>55</v>
      </c>
    </row>
    <row r="154" spans="1:4" x14ac:dyDescent="0.25">
      <c r="A154" t="s">
        <v>75</v>
      </c>
      <c r="B154" s="2">
        <v>45674</v>
      </c>
      <c r="C154">
        <v>6</v>
      </c>
      <c r="D154" t="s">
        <v>55</v>
      </c>
    </row>
    <row r="155" spans="1:4" x14ac:dyDescent="0.25">
      <c r="A155" t="s">
        <v>132</v>
      </c>
      <c r="B155" s="2">
        <v>45675</v>
      </c>
      <c r="C155">
        <v>6</v>
      </c>
      <c r="D155" t="s">
        <v>55</v>
      </c>
    </row>
    <row r="156" spans="1:4" x14ac:dyDescent="0.25">
      <c r="A156" t="s">
        <v>94</v>
      </c>
      <c r="B156" s="2">
        <v>45676</v>
      </c>
      <c r="C156">
        <v>6</v>
      </c>
      <c r="D156" t="s">
        <v>55</v>
      </c>
    </row>
    <row r="157" spans="1:4" x14ac:dyDescent="0.25">
      <c r="A157" t="s">
        <v>387</v>
      </c>
      <c r="B157" s="2">
        <v>45677</v>
      </c>
      <c r="C157">
        <v>6</v>
      </c>
      <c r="D157" t="s">
        <v>55</v>
      </c>
    </row>
    <row r="158" spans="1:4" x14ac:dyDescent="0.25">
      <c r="A158" t="s">
        <v>92</v>
      </c>
      <c r="B158" s="2">
        <v>45660</v>
      </c>
      <c r="C158">
        <v>7.2</v>
      </c>
      <c r="D158" t="s">
        <v>54</v>
      </c>
    </row>
    <row r="159" spans="1:4" x14ac:dyDescent="0.25">
      <c r="A159" t="s">
        <v>377</v>
      </c>
      <c r="B159" s="2">
        <v>45664</v>
      </c>
      <c r="C159">
        <v>7.2</v>
      </c>
      <c r="D159" t="s">
        <v>54</v>
      </c>
    </row>
    <row r="160" spans="1:4" x14ac:dyDescent="0.25">
      <c r="A160" t="s">
        <v>92</v>
      </c>
      <c r="B160" s="2">
        <v>45670</v>
      </c>
      <c r="C160">
        <v>7.2</v>
      </c>
      <c r="D160" t="s">
        <v>54</v>
      </c>
    </row>
    <row r="161" spans="1:4" x14ac:dyDescent="0.25">
      <c r="A161" t="s">
        <v>131</v>
      </c>
      <c r="B161" s="2">
        <v>45671</v>
      </c>
      <c r="C161">
        <v>7.2</v>
      </c>
      <c r="D161" t="s">
        <v>54</v>
      </c>
    </row>
    <row r="162" spans="1:4" x14ac:dyDescent="0.25">
      <c r="A162" t="s">
        <v>92</v>
      </c>
      <c r="B162" s="2">
        <v>45672</v>
      </c>
      <c r="C162">
        <v>7.2</v>
      </c>
      <c r="D162" t="s">
        <v>54</v>
      </c>
    </row>
    <row r="163" spans="1:4" x14ac:dyDescent="0.25">
      <c r="A163" t="s">
        <v>122</v>
      </c>
      <c r="B163" s="2">
        <v>45678</v>
      </c>
      <c r="C163">
        <v>7.2</v>
      </c>
      <c r="D163" t="s">
        <v>54</v>
      </c>
    </row>
    <row r="164" spans="1:4" x14ac:dyDescent="0.25">
      <c r="A164" t="s">
        <v>107</v>
      </c>
      <c r="B164" s="2">
        <v>45684</v>
      </c>
      <c r="C164">
        <v>7.2</v>
      </c>
      <c r="D164" t="s">
        <v>54</v>
      </c>
    </row>
    <row r="165" spans="1:4" x14ac:dyDescent="0.25">
      <c r="A165" t="s">
        <v>75</v>
      </c>
      <c r="B165" s="2">
        <v>45685</v>
      </c>
      <c r="C165">
        <v>7.2</v>
      </c>
      <c r="D165" t="s">
        <v>54</v>
      </c>
    </row>
    <row r="166" spans="1:4" x14ac:dyDescent="0.25">
      <c r="A166" t="s">
        <v>102</v>
      </c>
      <c r="B166" s="2">
        <v>45687</v>
      </c>
      <c r="C166">
        <v>7.2</v>
      </c>
      <c r="D166" t="s">
        <v>54</v>
      </c>
    </row>
    <row r="167" spans="1:4" x14ac:dyDescent="0.25">
      <c r="A167" t="s">
        <v>109</v>
      </c>
      <c r="B167" s="2">
        <v>45667</v>
      </c>
      <c r="C167">
        <v>7.2</v>
      </c>
      <c r="D167" t="s">
        <v>53</v>
      </c>
    </row>
    <row r="168" spans="1:4" x14ac:dyDescent="0.25">
      <c r="A168" t="s">
        <v>88</v>
      </c>
      <c r="B168" s="2">
        <v>45671</v>
      </c>
      <c r="C168">
        <v>7.2</v>
      </c>
      <c r="D168" t="s">
        <v>55</v>
      </c>
    </row>
    <row r="169" spans="1:4" x14ac:dyDescent="0.25">
      <c r="A169" t="s">
        <v>385</v>
      </c>
      <c r="B169" s="2">
        <v>45678</v>
      </c>
      <c r="C169">
        <v>7.2</v>
      </c>
      <c r="D169" t="s">
        <v>55</v>
      </c>
    </row>
    <row r="170" spans="1:4" x14ac:dyDescent="0.25">
      <c r="A170" t="s">
        <v>86</v>
      </c>
      <c r="B170" s="2">
        <v>45679</v>
      </c>
      <c r="C170">
        <v>7.2</v>
      </c>
      <c r="D170" t="s">
        <v>55</v>
      </c>
    </row>
    <row r="171" spans="1:4" x14ac:dyDescent="0.25">
      <c r="A171" t="s">
        <v>91</v>
      </c>
      <c r="B171" s="2">
        <v>45680</v>
      </c>
      <c r="C171">
        <v>7.2</v>
      </c>
      <c r="D171" t="s">
        <v>55</v>
      </c>
    </row>
    <row r="172" spans="1:4" x14ac:dyDescent="0.25">
      <c r="A172" t="s">
        <v>130</v>
      </c>
      <c r="B172" s="2">
        <v>45681</v>
      </c>
      <c r="C172">
        <v>7.2</v>
      </c>
      <c r="D172" t="s">
        <v>55</v>
      </c>
    </row>
    <row r="173" spans="1:4" x14ac:dyDescent="0.25">
      <c r="A173" t="s">
        <v>91</v>
      </c>
      <c r="B173" s="2">
        <v>45660</v>
      </c>
      <c r="C173">
        <v>6</v>
      </c>
      <c r="D173" t="s">
        <v>54</v>
      </c>
    </row>
    <row r="174" spans="1:4" x14ac:dyDescent="0.25">
      <c r="A174" t="s">
        <v>387</v>
      </c>
      <c r="B174" s="2">
        <v>45662</v>
      </c>
      <c r="C174">
        <v>6</v>
      </c>
      <c r="D174" t="s">
        <v>54</v>
      </c>
    </row>
    <row r="175" spans="1:4" x14ac:dyDescent="0.25">
      <c r="A175" t="s">
        <v>125</v>
      </c>
      <c r="B175" s="2">
        <v>45664</v>
      </c>
      <c r="C175">
        <v>6</v>
      </c>
      <c r="D175" t="s">
        <v>54</v>
      </c>
    </row>
    <row r="176" spans="1:4" x14ac:dyDescent="0.25">
      <c r="A176" t="s">
        <v>147</v>
      </c>
      <c r="B176" s="2">
        <v>45665</v>
      </c>
      <c r="C176">
        <v>6</v>
      </c>
      <c r="D176" t="s">
        <v>54</v>
      </c>
    </row>
    <row r="177" spans="1:4" x14ac:dyDescent="0.25">
      <c r="A177" t="s">
        <v>116</v>
      </c>
      <c r="B177" s="2">
        <v>45666</v>
      </c>
      <c r="C177">
        <v>6</v>
      </c>
      <c r="D177" t="s">
        <v>54</v>
      </c>
    </row>
    <row r="178" spans="1:4" x14ac:dyDescent="0.25">
      <c r="A178" t="s">
        <v>112</v>
      </c>
      <c r="B178" s="2">
        <v>45669</v>
      </c>
      <c r="C178">
        <v>6</v>
      </c>
      <c r="D178" t="s">
        <v>54</v>
      </c>
    </row>
    <row r="179" spans="1:4" x14ac:dyDescent="0.25">
      <c r="A179" t="s">
        <v>104</v>
      </c>
      <c r="B179" s="2">
        <v>45670</v>
      </c>
      <c r="C179">
        <v>6</v>
      </c>
      <c r="D179" t="s">
        <v>54</v>
      </c>
    </row>
    <row r="180" spans="1:4" x14ac:dyDescent="0.25">
      <c r="A180" t="s">
        <v>128</v>
      </c>
      <c r="B180" s="2">
        <v>45672</v>
      </c>
      <c r="C180">
        <v>6</v>
      </c>
      <c r="D180" t="s">
        <v>54</v>
      </c>
    </row>
    <row r="181" spans="1:4" x14ac:dyDescent="0.25">
      <c r="A181" t="s">
        <v>130</v>
      </c>
      <c r="B181" s="2">
        <v>45674</v>
      </c>
      <c r="C181">
        <v>6</v>
      </c>
      <c r="D181" t="s">
        <v>54</v>
      </c>
    </row>
    <row r="182" spans="1:4" x14ac:dyDescent="0.25">
      <c r="A182" t="s">
        <v>118</v>
      </c>
      <c r="B182" s="2">
        <v>45676</v>
      </c>
      <c r="C182">
        <v>6</v>
      </c>
      <c r="D182" t="s">
        <v>54</v>
      </c>
    </row>
    <row r="183" spans="1:4" x14ac:dyDescent="0.25">
      <c r="A183" t="s">
        <v>102</v>
      </c>
      <c r="B183" s="2">
        <v>45671</v>
      </c>
      <c r="C183">
        <v>7.2</v>
      </c>
      <c r="D183" t="s">
        <v>55</v>
      </c>
    </row>
    <row r="184" spans="1:4" x14ac:dyDescent="0.25">
      <c r="A184" t="s">
        <v>92</v>
      </c>
      <c r="B184" s="2">
        <v>45674</v>
      </c>
      <c r="C184">
        <v>6</v>
      </c>
      <c r="D184" t="s">
        <v>55</v>
      </c>
    </row>
    <row r="185" spans="1:4" x14ac:dyDescent="0.25">
      <c r="A185" t="s">
        <v>138</v>
      </c>
      <c r="B185" s="2">
        <v>45659</v>
      </c>
      <c r="C185">
        <v>7.2</v>
      </c>
      <c r="D185" t="s">
        <v>55</v>
      </c>
    </row>
    <row r="186" spans="1:4" x14ac:dyDescent="0.25">
      <c r="A186" t="s">
        <v>116</v>
      </c>
      <c r="B186" s="2">
        <v>45660</v>
      </c>
      <c r="C186">
        <v>7.2</v>
      </c>
      <c r="D186" t="s">
        <v>55</v>
      </c>
    </row>
    <row r="187" spans="1:4" x14ac:dyDescent="0.25">
      <c r="A187" t="s">
        <v>81</v>
      </c>
      <c r="B187" s="2">
        <v>45670</v>
      </c>
      <c r="C187">
        <v>7</v>
      </c>
      <c r="D187" t="s">
        <v>55</v>
      </c>
    </row>
    <row r="188" spans="1:4" x14ac:dyDescent="0.25">
      <c r="A188" t="s">
        <v>378</v>
      </c>
      <c r="B188" s="2">
        <v>45671</v>
      </c>
      <c r="C188">
        <v>7</v>
      </c>
      <c r="D188" t="s">
        <v>55</v>
      </c>
    </row>
    <row r="189" spans="1:4" x14ac:dyDescent="0.25">
      <c r="A189" t="s">
        <v>90</v>
      </c>
      <c r="B189" s="2">
        <v>45670</v>
      </c>
      <c r="C189">
        <v>6</v>
      </c>
      <c r="D189" t="s">
        <v>55</v>
      </c>
    </row>
    <row r="190" spans="1:4" x14ac:dyDescent="0.25">
      <c r="A190" t="s">
        <v>385</v>
      </c>
      <c r="B190" s="2">
        <v>45671</v>
      </c>
      <c r="C190">
        <v>6</v>
      </c>
      <c r="D190" t="s">
        <v>55</v>
      </c>
    </row>
    <row r="191" spans="1:4" x14ac:dyDescent="0.25">
      <c r="A191" t="s">
        <v>92</v>
      </c>
      <c r="B191" s="2">
        <v>45687</v>
      </c>
      <c r="C191">
        <v>6</v>
      </c>
      <c r="D191" t="s">
        <v>55</v>
      </c>
    </row>
    <row r="192" spans="1:4" x14ac:dyDescent="0.25">
      <c r="A192" t="s">
        <v>378</v>
      </c>
      <c r="B192" s="2">
        <v>45688</v>
      </c>
      <c r="C192">
        <v>6</v>
      </c>
      <c r="D192" t="s">
        <v>55</v>
      </c>
    </row>
    <row r="193" spans="1:4" x14ac:dyDescent="0.25">
      <c r="A193" t="s">
        <v>75</v>
      </c>
      <c r="B193" s="2">
        <v>45665</v>
      </c>
      <c r="C193">
        <v>6</v>
      </c>
      <c r="D193" t="s">
        <v>54</v>
      </c>
    </row>
    <row r="194" spans="1:4" x14ac:dyDescent="0.25">
      <c r="A194" t="s">
        <v>72</v>
      </c>
      <c r="B194" s="2">
        <v>45666</v>
      </c>
      <c r="C194">
        <v>6</v>
      </c>
      <c r="D194" t="s">
        <v>54</v>
      </c>
    </row>
    <row r="195" spans="1:4" x14ac:dyDescent="0.25">
      <c r="A195" t="s">
        <v>65</v>
      </c>
      <c r="B195" s="2">
        <v>45671</v>
      </c>
      <c r="C195">
        <v>6</v>
      </c>
      <c r="D195" t="s">
        <v>54</v>
      </c>
    </row>
    <row r="196" spans="1:4" x14ac:dyDescent="0.25">
      <c r="A196" t="s">
        <v>127</v>
      </c>
      <c r="B196" s="2">
        <v>45672</v>
      </c>
      <c r="C196">
        <v>6</v>
      </c>
      <c r="D196" t="s">
        <v>54</v>
      </c>
    </row>
    <row r="197" spans="1:4" x14ac:dyDescent="0.25">
      <c r="A197" t="s">
        <v>65</v>
      </c>
      <c r="B197" s="2">
        <v>45674</v>
      </c>
      <c r="C197">
        <v>6</v>
      </c>
      <c r="D197" t="s">
        <v>54</v>
      </c>
    </row>
    <row r="198" spans="1:4" x14ac:dyDescent="0.25">
      <c r="A198" t="s">
        <v>90</v>
      </c>
      <c r="B198" s="2">
        <v>45677</v>
      </c>
      <c r="C198">
        <v>6</v>
      </c>
      <c r="D198" t="s">
        <v>54</v>
      </c>
    </row>
    <row r="199" spans="1:4" x14ac:dyDescent="0.25">
      <c r="A199" t="s">
        <v>68</v>
      </c>
      <c r="B199" s="2">
        <v>45678</v>
      </c>
      <c r="C199">
        <v>6</v>
      </c>
      <c r="D199" t="s">
        <v>54</v>
      </c>
    </row>
    <row r="200" spans="1:4" x14ac:dyDescent="0.25">
      <c r="A200" t="s">
        <v>116</v>
      </c>
      <c r="B200" s="2">
        <v>45679</v>
      </c>
      <c r="C200">
        <v>6</v>
      </c>
      <c r="D200" t="s">
        <v>54</v>
      </c>
    </row>
    <row r="201" spans="1:4" x14ac:dyDescent="0.25">
      <c r="A201" t="s">
        <v>147</v>
      </c>
      <c r="B201" s="2">
        <v>45680</v>
      </c>
      <c r="C201">
        <v>6</v>
      </c>
      <c r="D201" t="s">
        <v>54</v>
      </c>
    </row>
    <row r="202" spans="1:4" x14ac:dyDescent="0.25">
      <c r="A202" t="s">
        <v>379</v>
      </c>
      <c r="B202" s="2">
        <v>45681</v>
      </c>
      <c r="C202">
        <v>6</v>
      </c>
      <c r="D202" t="s">
        <v>54</v>
      </c>
    </row>
    <row r="203" spans="1:4" x14ac:dyDescent="0.25">
      <c r="A203" t="s">
        <v>140</v>
      </c>
      <c r="B203" s="2">
        <v>45684</v>
      </c>
      <c r="C203">
        <v>6</v>
      </c>
      <c r="D203" t="s">
        <v>54</v>
      </c>
    </row>
    <row r="204" spans="1:4" x14ac:dyDescent="0.25">
      <c r="A204" t="s">
        <v>116</v>
      </c>
      <c r="B204" s="2">
        <v>45687</v>
      </c>
      <c r="C204">
        <v>6</v>
      </c>
      <c r="D204" t="s">
        <v>54</v>
      </c>
    </row>
    <row r="205" spans="1:4" x14ac:dyDescent="0.25">
      <c r="A205" t="s">
        <v>93</v>
      </c>
      <c r="B205" s="2">
        <v>45688</v>
      </c>
      <c r="C205">
        <v>6</v>
      </c>
      <c r="D205" t="s">
        <v>54</v>
      </c>
    </row>
    <row r="206" spans="1:4" x14ac:dyDescent="0.25">
      <c r="A206" t="s">
        <v>88</v>
      </c>
      <c r="B206" s="2">
        <v>45666</v>
      </c>
      <c r="C206">
        <v>7.2</v>
      </c>
      <c r="D206" t="s">
        <v>55</v>
      </c>
    </row>
    <row r="207" spans="1:4" x14ac:dyDescent="0.25">
      <c r="A207" t="s">
        <v>387</v>
      </c>
      <c r="B207" s="2">
        <v>45667</v>
      </c>
      <c r="C207">
        <v>7.2</v>
      </c>
      <c r="D207" t="s">
        <v>55</v>
      </c>
    </row>
    <row r="208" spans="1:4" x14ac:dyDescent="0.25">
      <c r="A208" t="s">
        <v>71</v>
      </c>
      <c r="B208" s="2">
        <v>45673</v>
      </c>
      <c r="C208">
        <v>7.2</v>
      </c>
      <c r="D208" t="s">
        <v>55</v>
      </c>
    </row>
    <row r="209" spans="1:4" x14ac:dyDescent="0.25">
      <c r="A209" t="s">
        <v>93</v>
      </c>
      <c r="B209" s="2">
        <v>45674</v>
      </c>
      <c r="C209">
        <v>7.2</v>
      </c>
      <c r="D209" t="s">
        <v>55</v>
      </c>
    </row>
    <row r="210" spans="1:4" x14ac:dyDescent="0.25">
      <c r="A210" t="s">
        <v>124</v>
      </c>
      <c r="B210" s="2">
        <v>45688</v>
      </c>
      <c r="C210">
        <v>4.7</v>
      </c>
      <c r="D210" t="s">
        <v>55</v>
      </c>
    </row>
    <row r="211" spans="1:4" x14ac:dyDescent="0.25">
      <c r="A211" t="s">
        <v>108</v>
      </c>
      <c r="B211" s="2">
        <v>45672</v>
      </c>
      <c r="C211">
        <v>6</v>
      </c>
      <c r="D211" t="s">
        <v>55</v>
      </c>
    </row>
    <row r="212" spans="1:4" x14ac:dyDescent="0.25">
      <c r="A212" t="s">
        <v>119</v>
      </c>
      <c r="B212" s="2">
        <v>45673</v>
      </c>
      <c r="C212">
        <v>6</v>
      </c>
      <c r="D212" t="s">
        <v>55</v>
      </c>
    </row>
    <row r="213" spans="1:4" x14ac:dyDescent="0.25">
      <c r="A213" t="s">
        <v>375</v>
      </c>
      <c r="B213" s="2">
        <v>45674</v>
      </c>
      <c r="C213">
        <v>6</v>
      </c>
      <c r="D213" t="s">
        <v>55</v>
      </c>
    </row>
    <row r="214" spans="1:4" x14ac:dyDescent="0.25">
      <c r="A214" t="s">
        <v>375</v>
      </c>
      <c r="B214" s="2">
        <v>45684</v>
      </c>
      <c r="C214">
        <v>6</v>
      </c>
      <c r="D214" t="s">
        <v>55</v>
      </c>
    </row>
    <row r="215" spans="1:4" x14ac:dyDescent="0.25">
      <c r="A215" t="s">
        <v>98</v>
      </c>
      <c r="B215" s="2">
        <v>45685</v>
      </c>
      <c r="C215">
        <v>6</v>
      </c>
      <c r="D215" t="s">
        <v>55</v>
      </c>
    </row>
    <row r="216" spans="1:4" x14ac:dyDescent="0.25">
      <c r="A216" t="s">
        <v>80</v>
      </c>
      <c r="B216" s="2">
        <v>45686</v>
      </c>
      <c r="C216">
        <v>6</v>
      </c>
      <c r="D216" t="s">
        <v>55</v>
      </c>
    </row>
    <row r="217" spans="1:4" x14ac:dyDescent="0.25">
      <c r="A217" t="s">
        <v>94</v>
      </c>
      <c r="B217" s="2">
        <v>45687</v>
      </c>
      <c r="C217">
        <v>6</v>
      </c>
      <c r="D217" t="s">
        <v>55</v>
      </c>
    </row>
    <row r="218" spans="1:4" x14ac:dyDescent="0.25">
      <c r="A218" t="s">
        <v>95</v>
      </c>
      <c r="B218" s="2">
        <v>45688</v>
      </c>
      <c r="C218">
        <v>6</v>
      </c>
      <c r="D218" t="s">
        <v>55</v>
      </c>
    </row>
    <row r="219" spans="1:4" x14ac:dyDescent="0.25">
      <c r="A219" t="s">
        <v>108</v>
      </c>
      <c r="B219" s="2">
        <v>45671</v>
      </c>
      <c r="C219">
        <v>7.2</v>
      </c>
      <c r="D219" t="s">
        <v>55</v>
      </c>
    </row>
    <row r="220" spans="1:4" x14ac:dyDescent="0.25">
      <c r="A220" t="s">
        <v>79</v>
      </c>
      <c r="B220" s="2">
        <v>45672</v>
      </c>
      <c r="C220">
        <v>7.2</v>
      </c>
      <c r="D220" t="s">
        <v>55</v>
      </c>
    </row>
    <row r="221" spans="1:4" x14ac:dyDescent="0.25">
      <c r="A221" t="s">
        <v>128</v>
      </c>
      <c r="B221" s="2">
        <v>45677</v>
      </c>
      <c r="C221">
        <v>7.2</v>
      </c>
      <c r="D221" t="s">
        <v>55</v>
      </c>
    </row>
    <row r="222" spans="1:4" x14ac:dyDescent="0.25">
      <c r="A222" t="s">
        <v>68</v>
      </c>
      <c r="B222" s="2">
        <v>45678</v>
      </c>
      <c r="C222">
        <v>7.2</v>
      </c>
      <c r="D222" t="s">
        <v>55</v>
      </c>
    </row>
    <row r="223" spans="1:4" x14ac:dyDescent="0.25">
      <c r="A223" t="s">
        <v>147</v>
      </c>
      <c r="B223" s="2">
        <v>45679</v>
      </c>
      <c r="C223">
        <v>7.2</v>
      </c>
      <c r="D223" t="s">
        <v>55</v>
      </c>
    </row>
    <row r="224" spans="1:4" x14ac:dyDescent="0.25">
      <c r="A224" t="s">
        <v>374</v>
      </c>
      <c r="B224" s="2">
        <v>45673</v>
      </c>
      <c r="C224">
        <v>7.2</v>
      </c>
      <c r="D224" t="s">
        <v>55</v>
      </c>
    </row>
    <row r="225" spans="1:4" x14ac:dyDescent="0.25">
      <c r="A225" t="s">
        <v>116</v>
      </c>
      <c r="B225" s="2">
        <v>45688</v>
      </c>
      <c r="C225">
        <v>7.2</v>
      </c>
      <c r="D225" t="s">
        <v>54</v>
      </c>
    </row>
    <row r="226" spans="1:4" x14ac:dyDescent="0.25">
      <c r="A226" t="s">
        <v>76</v>
      </c>
      <c r="B226" s="2">
        <v>45684</v>
      </c>
      <c r="C226">
        <v>7.2</v>
      </c>
      <c r="D226" t="s">
        <v>55</v>
      </c>
    </row>
    <row r="227" spans="1:4" x14ac:dyDescent="0.25">
      <c r="A227" t="s">
        <v>387</v>
      </c>
      <c r="B227" s="2">
        <v>45685</v>
      </c>
      <c r="C227">
        <v>7.2</v>
      </c>
      <c r="D227" t="s">
        <v>55</v>
      </c>
    </row>
    <row r="228" spans="1:4" x14ac:dyDescent="0.25">
      <c r="A228" t="s">
        <v>78</v>
      </c>
      <c r="B228" s="2">
        <v>45686</v>
      </c>
      <c r="C228">
        <v>7.2</v>
      </c>
      <c r="D228" t="s">
        <v>55</v>
      </c>
    </row>
    <row r="229" spans="1:4" x14ac:dyDescent="0.25">
      <c r="A229" t="s">
        <v>383</v>
      </c>
      <c r="B229" s="2">
        <v>45670</v>
      </c>
      <c r="C229">
        <v>7.2</v>
      </c>
      <c r="D229" t="s">
        <v>55</v>
      </c>
    </row>
    <row r="230" spans="1:4" x14ac:dyDescent="0.25">
      <c r="A230" t="s">
        <v>85</v>
      </c>
      <c r="B230" s="2">
        <v>45671</v>
      </c>
      <c r="C230">
        <v>7.2</v>
      </c>
      <c r="D230" t="s">
        <v>55</v>
      </c>
    </row>
    <row r="231" spans="1:4" x14ac:dyDescent="0.25">
      <c r="A231" t="s">
        <v>145</v>
      </c>
      <c r="B231" s="2">
        <v>45672</v>
      </c>
      <c r="C231">
        <v>7.2</v>
      </c>
      <c r="D231" t="s">
        <v>55</v>
      </c>
    </row>
    <row r="232" spans="1:4" x14ac:dyDescent="0.25">
      <c r="A232" t="s">
        <v>142</v>
      </c>
      <c r="B232" s="2">
        <v>45677</v>
      </c>
      <c r="C232">
        <v>6</v>
      </c>
      <c r="D232" t="s">
        <v>55</v>
      </c>
    </row>
    <row r="233" spans="1:4" x14ac:dyDescent="0.25">
      <c r="A233" t="s">
        <v>142</v>
      </c>
      <c r="B233" s="2">
        <v>45678</v>
      </c>
      <c r="C233">
        <v>7.2</v>
      </c>
      <c r="D233" t="s">
        <v>55</v>
      </c>
    </row>
    <row r="234" spans="1:4" x14ac:dyDescent="0.25">
      <c r="A234" t="s">
        <v>105</v>
      </c>
      <c r="B234" s="2">
        <v>45679</v>
      </c>
      <c r="C234" s="13">
        <v>7.2</v>
      </c>
      <c r="D234" t="s">
        <v>55</v>
      </c>
    </row>
    <row r="235" spans="1:4" x14ac:dyDescent="0.25">
      <c r="A235" t="s">
        <v>95</v>
      </c>
      <c r="B235" s="2">
        <v>45680</v>
      </c>
      <c r="C235">
        <v>7.2</v>
      </c>
      <c r="D235" t="s">
        <v>55</v>
      </c>
    </row>
    <row r="236" spans="1:4" x14ac:dyDescent="0.25">
      <c r="A236" t="s">
        <v>385</v>
      </c>
      <c r="B236" s="2">
        <v>45681</v>
      </c>
      <c r="C236">
        <v>6</v>
      </c>
      <c r="D236" t="s">
        <v>55</v>
      </c>
    </row>
    <row r="237" spans="1:4" x14ac:dyDescent="0.25">
      <c r="A237" t="s">
        <v>381</v>
      </c>
      <c r="B237" s="2">
        <v>45677</v>
      </c>
      <c r="C237">
        <v>7.2</v>
      </c>
      <c r="D237" t="s">
        <v>55</v>
      </c>
    </row>
    <row r="238" spans="1:4" x14ac:dyDescent="0.25">
      <c r="A238" t="s">
        <v>132</v>
      </c>
      <c r="B238" s="2">
        <v>45678</v>
      </c>
      <c r="C238">
        <v>7.2</v>
      </c>
      <c r="D238" t="s">
        <v>55</v>
      </c>
    </row>
    <row r="239" spans="1:4" x14ac:dyDescent="0.25">
      <c r="A239" t="s">
        <v>96</v>
      </c>
      <c r="B239" s="2">
        <v>45679</v>
      </c>
      <c r="C239">
        <v>7.2</v>
      </c>
      <c r="D239" t="s">
        <v>55</v>
      </c>
    </row>
    <row r="240" spans="1:4" x14ac:dyDescent="0.25">
      <c r="A240" t="s">
        <v>65</v>
      </c>
      <c r="B240" s="2">
        <v>45680</v>
      </c>
      <c r="C240">
        <v>7.2</v>
      </c>
      <c r="D240" t="s">
        <v>55</v>
      </c>
    </row>
    <row r="241" spans="1:4" x14ac:dyDescent="0.25">
      <c r="A241" t="s">
        <v>132</v>
      </c>
      <c r="B241" s="2">
        <v>45677</v>
      </c>
      <c r="C241">
        <v>7.2</v>
      </c>
      <c r="D241" t="s">
        <v>55</v>
      </c>
    </row>
    <row r="242" spans="1:4" x14ac:dyDescent="0.25">
      <c r="A242" t="s">
        <v>379</v>
      </c>
      <c r="B242" s="2">
        <v>45678</v>
      </c>
      <c r="C242">
        <v>7.2</v>
      </c>
      <c r="D242" t="s">
        <v>55</v>
      </c>
    </row>
    <row r="243" spans="1:4" x14ac:dyDescent="0.25">
      <c r="A243" t="s">
        <v>128</v>
      </c>
      <c r="B243" s="2">
        <v>45679</v>
      </c>
      <c r="C243">
        <v>7.2</v>
      </c>
      <c r="D243" t="s">
        <v>55</v>
      </c>
    </row>
    <row r="244" spans="1:4" x14ac:dyDescent="0.25">
      <c r="A244" t="s">
        <v>96</v>
      </c>
      <c r="B244" s="2">
        <v>45666</v>
      </c>
      <c r="C244">
        <v>6</v>
      </c>
      <c r="D244" t="s">
        <v>55</v>
      </c>
    </row>
    <row r="245" spans="1:4" x14ac:dyDescent="0.25">
      <c r="A245" t="s">
        <v>385</v>
      </c>
      <c r="B245" s="2">
        <v>45667</v>
      </c>
      <c r="C245">
        <v>6</v>
      </c>
      <c r="D245" t="s">
        <v>55</v>
      </c>
    </row>
    <row r="246" spans="1:4" x14ac:dyDescent="0.25">
      <c r="A246" t="s">
        <v>144</v>
      </c>
      <c r="B246" s="2">
        <v>45670</v>
      </c>
      <c r="C246">
        <v>6</v>
      </c>
      <c r="D246" t="s">
        <v>55</v>
      </c>
    </row>
    <row r="247" spans="1:4" x14ac:dyDescent="0.25">
      <c r="A247" t="s">
        <v>74</v>
      </c>
      <c r="B247" s="2">
        <v>45671</v>
      </c>
      <c r="C247">
        <v>6</v>
      </c>
      <c r="D247" t="s">
        <v>55</v>
      </c>
    </row>
    <row r="248" spans="1:4" x14ac:dyDescent="0.25">
      <c r="A248" t="s">
        <v>65</v>
      </c>
      <c r="B248" s="2">
        <v>45686</v>
      </c>
      <c r="C248">
        <v>6</v>
      </c>
      <c r="D248" t="s">
        <v>55</v>
      </c>
    </row>
    <row r="249" spans="1:4" x14ac:dyDescent="0.25">
      <c r="A249" t="s">
        <v>140</v>
      </c>
      <c r="B249" s="2">
        <v>45687</v>
      </c>
      <c r="C249">
        <v>6</v>
      </c>
      <c r="D249" t="s">
        <v>55</v>
      </c>
    </row>
    <row r="250" spans="1:4" x14ac:dyDescent="0.25">
      <c r="A250" t="s">
        <v>70</v>
      </c>
      <c r="B250" s="2">
        <v>45688</v>
      </c>
      <c r="C250">
        <v>6</v>
      </c>
      <c r="D250" t="s">
        <v>55</v>
      </c>
    </row>
    <row r="251" spans="1:4" x14ac:dyDescent="0.25">
      <c r="A251" t="s">
        <v>119</v>
      </c>
      <c r="B251" s="2">
        <v>45673</v>
      </c>
      <c r="C251">
        <v>7.2</v>
      </c>
      <c r="D251" t="s">
        <v>55</v>
      </c>
    </row>
    <row r="252" spans="1:4" x14ac:dyDescent="0.25">
      <c r="A252" t="s">
        <v>378</v>
      </c>
      <c r="B252" s="2">
        <v>45674</v>
      </c>
      <c r="C252">
        <v>7.2</v>
      </c>
      <c r="D252" t="s">
        <v>55</v>
      </c>
    </row>
    <row r="253" spans="1:4" x14ac:dyDescent="0.25">
      <c r="A253" t="s">
        <v>103</v>
      </c>
      <c r="B253" s="2">
        <v>45673</v>
      </c>
      <c r="C253">
        <v>7.2</v>
      </c>
      <c r="D253" t="s">
        <v>55</v>
      </c>
    </row>
    <row r="254" spans="1:4" x14ac:dyDescent="0.25">
      <c r="A254" t="s">
        <v>77</v>
      </c>
      <c r="B254" s="2">
        <v>45674</v>
      </c>
      <c r="C254">
        <v>7.2</v>
      </c>
      <c r="D254" t="s">
        <v>55</v>
      </c>
    </row>
    <row r="255" spans="1:4" x14ac:dyDescent="0.25">
      <c r="A255" t="s">
        <v>66</v>
      </c>
      <c r="B255" s="2">
        <v>45671</v>
      </c>
      <c r="C255">
        <v>7.2</v>
      </c>
      <c r="D255" t="s">
        <v>55</v>
      </c>
    </row>
    <row r="256" spans="1:4" x14ac:dyDescent="0.25">
      <c r="A256" t="s">
        <v>96</v>
      </c>
      <c r="B256" s="2">
        <v>45679</v>
      </c>
      <c r="C256">
        <v>7.2</v>
      </c>
      <c r="D256" t="s">
        <v>55</v>
      </c>
    </row>
    <row r="257" spans="1:4" x14ac:dyDescent="0.25">
      <c r="A257" t="s">
        <v>107</v>
      </c>
      <c r="B257" s="2">
        <v>45667</v>
      </c>
      <c r="C257">
        <v>7.2</v>
      </c>
      <c r="D257" t="s">
        <v>55</v>
      </c>
    </row>
    <row r="258" spans="1:4" x14ac:dyDescent="0.25">
      <c r="A258" t="s">
        <v>138</v>
      </c>
      <c r="B258" s="2">
        <v>45670</v>
      </c>
      <c r="C258">
        <v>7.2</v>
      </c>
      <c r="D258" t="s">
        <v>55</v>
      </c>
    </row>
    <row r="259" spans="1:4" x14ac:dyDescent="0.25">
      <c r="A259" t="s">
        <v>144</v>
      </c>
      <c r="B259" s="2">
        <v>45671</v>
      </c>
      <c r="C259">
        <v>7.2</v>
      </c>
      <c r="D259" t="s">
        <v>55</v>
      </c>
    </row>
    <row r="260" spans="1:4" x14ac:dyDescent="0.25">
      <c r="A260" t="s">
        <v>85</v>
      </c>
      <c r="B260" s="2">
        <v>45672</v>
      </c>
      <c r="C260">
        <v>7.2</v>
      </c>
      <c r="D260" t="s">
        <v>55</v>
      </c>
    </row>
    <row r="261" spans="1:4" x14ac:dyDescent="0.25">
      <c r="A261" t="s">
        <v>141</v>
      </c>
      <c r="B261" s="2">
        <v>45673</v>
      </c>
      <c r="C261">
        <v>7.2</v>
      </c>
      <c r="D261" t="s">
        <v>55</v>
      </c>
    </row>
    <row r="262" spans="1:4" x14ac:dyDescent="0.25">
      <c r="A262" t="s">
        <v>148</v>
      </c>
      <c r="B262" s="2">
        <v>45674</v>
      </c>
      <c r="C262">
        <v>7</v>
      </c>
      <c r="D262" t="s">
        <v>55</v>
      </c>
    </row>
    <row r="263" spans="1:4" x14ac:dyDescent="0.25">
      <c r="A263" t="s">
        <v>111</v>
      </c>
      <c r="B263" s="2">
        <v>45675</v>
      </c>
      <c r="C263">
        <v>7</v>
      </c>
      <c r="D263" t="s">
        <v>55</v>
      </c>
    </row>
    <row r="264" spans="1:4" x14ac:dyDescent="0.25">
      <c r="A264" t="s">
        <v>129</v>
      </c>
      <c r="B264" s="2">
        <v>45676</v>
      </c>
      <c r="C264">
        <v>7</v>
      </c>
      <c r="D264" t="s">
        <v>55</v>
      </c>
    </row>
    <row r="265" spans="1:4" x14ac:dyDescent="0.25">
      <c r="A265" t="s">
        <v>83</v>
      </c>
      <c r="B265" s="2">
        <v>45685</v>
      </c>
      <c r="C265">
        <v>7</v>
      </c>
      <c r="D265" t="s">
        <v>53</v>
      </c>
    </row>
    <row r="266" spans="1:4" x14ac:dyDescent="0.25">
      <c r="A266" t="s">
        <v>90</v>
      </c>
      <c r="B266" s="2">
        <v>45687</v>
      </c>
      <c r="C266">
        <v>7.2</v>
      </c>
      <c r="D266" t="s">
        <v>55</v>
      </c>
    </row>
    <row r="267" spans="1:4" x14ac:dyDescent="0.25">
      <c r="A267" t="s">
        <v>70</v>
      </c>
      <c r="B267" s="2">
        <v>45659</v>
      </c>
      <c r="C267">
        <v>6</v>
      </c>
      <c r="D267" t="s">
        <v>55</v>
      </c>
    </row>
    <row r="268" spans="1:4" x14ac:dyDescent="0.25">
      <c r="A268" t="s">
        <v>96</v>
      </c>
      <c r="B268" s="2">
        <v>45677</v>
      </c>
      <c r="C268">
        <v>6</v>
      </c>
      <c r="D268" t="s">
        <v>55</v>
      </c>
    </row>
    <row r="269" spans="1:4" x14ac:dyDescent="0.25">
      <c r="A269" t="s">
        <v>130</v>
      </c>
      <c r="B269" s="2">
        <v>45665</v>
      </c>
      <c r="C269">
        <v>6</v>
      </c>
      <c r="D269" t="s">
        <v>55</v>
      </c>
    </row>
    <row r="270" spans="1:4" x14ac:dyDescent="0.25">
      <c r="A270" t="s">
        <v>111</v>
      </c>
      <c r="B270" s="2">
        <v>45666</v>
      </c>
      <c r="C270">
        <v>6</v>
      </c>
      <c r="D270" t="s">
        <v>55</v>
      </c>
    </row>
    <row r="271" spans="1:4" x14ac:dyDescent="0.25">
      <c r="A271" t="s">
        <v>70</v>
      </c>
      <c r="B271" s="2">
        <v>45667</v>
      </c>
      <c r="C271">
        <v>6</v>
      </c>
      <c r="D271" t="s">
        <v>55</v>
      </c>
    </row>
    <row r="272" spans="1:4" x14ac:dyDescent="0.25">
      <c r="A272" t="s">
        <v>96</v>
      </c>
      <c r="B272" s="2">
        <v>45671</v>
      </c>
      <c r="C272">
        <v>7.2</v>
      </c>
      <c r="D272" t="s">
        <v>55</v>
      </c>
    </row>
    <row r="273" spans="1:4" x14ac:dyDescent="0.25">
      <c r="A273" t="s">
        <v>134</v>
      </c>
      <c r="B273" s="2">
        <v>45672</v>
      </c>
      <c r="C273">
        <v>7.2</v>
      </c>
      <c r="D273" t="s">
        <v>55</v>
      </c>
    </row>
    <row r="274" spans="1:4" x14ac:dyDescent="0.25">
      <c r="A274" t="s">
        <v>102</v>
      </c>
      <c r="B274" s="2">
        <v>45670</v>
      </c>
      <c r="C274">
        <v>7.2</v>
      </c>
      <c r="D274" t="s">
        <v>55</v>
      </c>
    </row>
    <row r="275" spans="1:4" x14ac:dyDescent="0.25">
      <c r="A275" t="s">
        <v>379</v>
      </c>
      <c r="B275" s="2">
        <v>45671</v>
      </c>
      <c r="C275">
        <v>7.2</v>
      </c>
      <c r="D275" t="s">
        <v>55</v>
      </c>
    </row>
    <row r="276" spans="1:4" x14ac:dyDescent="0.25">
      <c r="A276" t="s">
        <v>70</v>
      </c>
      <c r="B276" s="2">
        <v>45672</v>
      </c>
      <c r="C276">
        <v>7.2</v>
      </c>
      <c r="D276" t="s">
        <v>55</v>
      </c>
    </row>
    <row r="277" spans="1:4" x14ac:dyDescent="0.25">
      <c r="A277" t="s">
        <v>85</v>
      </c>
      <c r="B277" s="2">
        <v>45673</v>
      </c>
      <c r="C277">
        <v>7.2</v>
      </c>
      <c r="D277" t="s">
        <v>55</v>
      </c>
    </row>
    <row r="278" spans="1:4" x14ac:dyDescent="0.25">
      <c r="A278" t="s">
        <v>376</v>
      </c>
      <c r="B278" s="2">
        <v>45664</v>
      </c>
      <c r="C278">
        <v>7.2</v>
      </c>
      <c r="D278" t="s">
        <v>55</v>
      </c>
    </row>
    <row r="279" spans="1:4" x14ac:dyDescent="0.25">
      <c r="A279" t="s">
        <v>73</v>
      </c>
      <c r="B279" s="2">
        <v>45665</v>
      </c>
      <c r="C279">
        <v>7.2</v>
      </c>
      <c r="D279" t="s">
        <v>55</v>
      </c>
    </row>
    <row r="280" spans="1:4" x14ac:dyDescent="0.25">
      <c r="A280" t="s">
        <v>376</v>
      </c>
      <c r="B280" s="2">
        <v>45684</v>
      </c>
      <c r="C280">
        <v>7.2</v>
      </c>
      <c r="D280" t="s">
        <v>53</v>
      </c>
    </row>
    <row r="281" spans="1:4" x14ac:dyDescent="0.25">
      <c r="A281" t="s">
        <v>127</v>
      </c>
      <c r="B281" s="2">
        <v>45685</v>
      </c>
      <c r="C281">
        <v>7.2</v>
      </c>
      <c r="D281" t="s">
        <v>53</v>
      </c>
    </row>
    <row r="282" spans="1:4" x14ac:dyDescent="0.25">
      <c r="A282" t="s">
        <v>85</v>
      </c>
      <c r="B282" s="2">
        <v>45681</v>
      </c>
      <c r="C282">
        <v>7.2</v>
      </c>
      <c r="D282" t="s">
        <v>53</v>
      </c>
    </row>
    <row r="283" spans="1:4" x14ac:dyDescent="0.25">
      <c r="A283" t="s">
        <v>71</v>
      </c>
      <c r="B283" s="2">
        <v>45686</v>
      </c>
      <c r="C283">
        <v>7.2</v>
      </c>
      <c r="D283" t="s">
        <v>53</v>
      </c>
    </row>
    <row r="284" spans="1:4" x14ac:dyDescent="0.25">
      <c r="A284" t="s">
        <v>115</v>
      </c>
      <c r="B284" s="2">
        <v>45687</v>
      </c>
      <c r="C284">
        <v>7.2</v>
      </c>
      <c r="D284" t="s">
        <v>53</v>
      </c>
    </row>
    <row r="285" spans="1:4" x14ac:dyDescent="0.25">
      <c r="A285" t="s">
        <v>106</v>
      </c>
      <c r="B285" s="2">
        <v>45671</v>
      </c>
      <c r="C285">
        <v>4</v>
      </c>
      <c r="D285" t="s">
        <v>55</v>
      </c>
    </row>
    <row r="286" spans="1:4" x14ac:dyDescent="0.25">
      <c r="A286" t="s">
        <v>64</v>
      </c>
      <c r="B286" s="2">
        <v>45672</v>
      </c>
      <c r="C286">
        <v>4</v>
      </c>
      <c r="D286" t="s">
        <v>55</v>
      </c>
    </row>
    <row r="287" spans="1:4" x14ac:dyDescent="0.25">
      <c r="A287" t="s">
        <v>114</v>
      </c>
      <c r="B287" s="2">
        <v>45679</v>
      </c>
      <c r="C287">
        <v>7.2</v>
      </c>
      <c r="D287" t="s">
        <v>55</v>
      </c>
    </row>
    <row r="288" spans="1:4" x14ac:dyDescent="0.25">
      <c r="A288" t="s">
        <v>91</v>
      </c>
      <c r="B288" s="2">
        <v>45666</v>
      </c>
      <c r="C288">
        <v>7.2</v>
      </c>
      <c r="D288" t="s">
        <v>55</v>
      </c>
    </row>
    <row r="289" spans="1:4" x14ac:dyDescent="0.25">
      <c r="A289" t="s">
        <v>74</v>
      </c>
      <c r="B289" s="2">
        <v>45685</v>
      </c>
      <c r="C289">
        <v>7.2</v>
      </c>
      <c r="D289" t="s">
        <v>55</v>
      </c>
    </row>
    <row r="290" spans="1:4" x14ac:dyDescent="0.25">
      <c r="A290" t="s">
        <v>125</v>
      </c>
      <c r="B290" s="2">
        <v>45686</v>
      </c>
      <c r="C290">
        <v>7.2</v>
      </c>
      <c r="D290" t="s">
        <v>55</v>
      </c>
    </row>
    <row r="291" spans="1:4" x14ac:dyDescent="0.25">
      <c r="A291" t="s">
        <v>138</v>
      </c>
      <c r="B291" s="2">
        <v>45687</v>
      </c>
      <c r="C291">
        <v>7.2</v>
      </c>
      <c r="D291" t="s">
        <v>55</v>
      </c>
    </row>
    <row r="292" spans="1:4" x14ac:dyDescent="0.25">
      <c r="A292" t="s">
        <v>122</v>
      </c>
      <c r="B292" s="2">
        <v>45688</v>
      </c>
      <c r="C292">
        <v>7.2</v>
      </c>
      <c r="D292" t="s">
        <v>55</v>
      </c>
    </row>
    <row r="293" spans="1:4" x14ac:dyDescent="0.25">
      <c r="A293" t="s">
        <v>82</v>
      </c>
      <c r="B293" s="2">
        <v>45664</v>
      </c>
      <c r="C293">
        <v>7.2</v>
      </c>
      <c r="D293" t="s">
        <v>55</v>
      </c>
    </row>
    <row r="294" spans="1:4" x14ac:dyDescent="0.25">
      <c r="A294" t="s">
        <v>95</v>
      </c>
      <c r="B294" s="2">
        <v>45672</v>
      </c>
      <c r="C294">
        <v>7.2</v>
      </c>
      <c r="D294" t="s">
        <v>55</v>
      </c>
    </row>
    <row r="295" spans="1:4" x14ac:dyDescent="0.25">
      <c r="A295" t="s">
        <v>131</v>
      </c>
      <c r="B295" s="2">
        <v>45673</v>
      </c>
      <c r="C295">
        <v>7.2</v>
      </c>
      <c r="D295" t="s">
        <v>55</v>
      </c>
    </row>
    <row r="296" spans="1:4" x14ac:dyDescent="0.25">
      <c r="A296" t="s">
        <v>380</v>
      </c>
      <c r="B296" s="2">
        <v>45674</v>
      </c>
      <c r="C296">
        <v>7.2</v>
      </c>
      <c r="D296" t="s">
        <v>55</v>
      </c>
    </row>
    <row r="297" spans="1:4" x14ac:dyDescent="0.25">
      <c r="A297" t="s">
        <v>108</v>
      </c>
      <c r="B297" s="2">
        <v>45677</v>
      </c>
      <c r="C297">
        <v>7.2</v>
      </c>
      <c r="D297" t="s">
        <v>55</v>
      </c>
    </row>
    <row r="298" spans="1:4" x14ac:dyDescent="0.25">
      <c r="A298" t="s">
        <v>381</v>
      </c>
      <c r="B298" s="2">
        <v>45678</v>
      </c>
      <c r="C298">
        <v>7.2</v>
      </c>
      <c r="D298" t="s">
        <v>55</v>
      </c>
    </row>
    <row r="299" spans="1:4" x14ac:dyDescent="0.25">
      <c r="A299" t="s">
        <v>90</v>
      </c>
      <c r="B299" s="2">
        <v>45679</v>
      </c>
      <c r="C299">
        <v>7.2</v>
      </c>
      <c r="D299" t="s">
        <v>55</v>
      </c>
    </row>
    <row r="300" spans="1:4" x14ac:dyDescent="0.25">
      <c r="A300" t="s">
        <v>85</v>
      </c>
      <c r="B300" s="2">
        <v>45680</v>
      </c>
      <c r="C300">
        <v>7.2</v>
      </c>
      <c r="D300" t="s">
        <v>55</v>
      </c>
    </row>
    <row r="301" spans="1:4" x14ac:dyDescent="0.25">
      <c r="A301" t="s">
        <v>382</v>
      </c>
      <c r="B301" s="2">
        <v>45681</v>
      </c>
      <c r="C301">
        <v>7.2</v>
      </c>
      <c r="D301" t="s">
        <v>55</v>
      </c>
    </row>
    <row r="302" spans="1:4" x14ac:dyDescent="0.25">
      <c r="A302" t="s">
        <v>124</v>
      </c>
      <c r="B302" s="2">
        <v>45684</v>
      </c>
      <c r="C302">
        <v>7.2</v>
      </c>
      <c r="D302" t="s">
        <v>55</v>
      </c>
    </row>
    <row r="303" spans="1:4" x14ac:dyDescent="0.25">
      <c r="A303" t="s">
        <v>119</v>
      </c>
      <c r="B303" s="2">
        <v>45667</v>
      </c>
      <c r="C303">
        <v>7.2</v>
      </c>
      <c r="D303" t="s">
        <v>53</v>
      </c>
    </row>
    <row r="304" spans="1:4" x14ac:dyDescent="0.25">
      <c r="A304" t="s">
        <v>147</v>
      </c>
      <c r="B304" s="2">
        <v>45667</v>
      </c>
      <c r="C304">
        <v>7.2</v>
      </c>
      <c r="D304" t="s">
        <v>53</v>
      </c>
    </row>
    <row r="305" spans="1:4" x14ac:dyDescent="0.25">
      <c r="A305" t="s">
        <v>145</v>
      </c>
      <c r="B305" s="2">
        <v>45672</v>
      </c>
      <c r="C305">
        <v>6</v>
      </c>
      <c r="D305" t="s">
        <v>55</v>
      </c>
    </row>
    <row r="306" spans="1:4" x14ac:dyDescent="0.25">
      <c r="A306" t="s">
        <v>98</v>
      </c>
      <c r="B306" s="2">
        <v>45673</v>
      </c>
      <c r="C306">
        <v>6</v>
      </c>
      <c r="D306" t="s">
        <v>55</v>
      </c>
    </row>
    <row r="307" spans="1:4" x14ac:dyDescent="0.25">
      <c r="A307" t="s">
        <v>107</v>
      </c>
      <c r="B307" s="2">
        <v>45674</v>
      </c>
      <c r="C307">
        <v>6</v>
      </c>
      <c r="D307" t="s">
        <v>55</v>
      </c>
    </row>
    <row r="308" spans="1:4" x14ac:dyDescent="0.25">
      <c r="A308" t="s">
        <v>67</v>
      </c>
      <c r="B308" s="2">
        <v>45675</v>
      </c>
      <c r="C308">
        <v>6</v>
      </c>
      <c r="D308" t="s">
        <v>55</v>
      </c>
    </row>
    <row r="309" spans="1:4" x14ac:dyDescent="0.25">
      <c r="A309" t="s">
        <v>86</v>
      </c>
      <c r="B309" s="2">
        <v>45687</v>
      </c>
      <c r="C309">
        <v>7.2</v>
      </c>
      <c r="D309" t="s">
        <v>55</v>
      </c>
    </row>
    <row r="310" spans="1:4" x14ac:dyDescent="0.25">
      <c r="A310" t="s">
        <v>142</v>
      </c>
      <c r="B310" s="2">
        <v>45688</v>
      </c>
      <c r="C310">
        <v>7.2</v>
      </c>
      <c r="D310" t="s">
        <v>55</v>
      </c>
    </row>
    <row r="311" spans="1:4" x14ac:dyDescent="0.25">
      <c r="A311" t="s">
        <v>100</v>
      </c>
      <c r="B311" s="2">
        <v>45678</v>
      </c>
      <c r="C311">
        <v>7.2</v>
      </c>
      <c r="D311" t="s">
        <v>55</v>
      </c>
    </row>
    <row r="312" spans="1:4" x14ac:dyDescent="0.25">
      <c r="A312" t="s">
        <v>113</v>
      </c>
      <c r="B312" s="2">
        <v>45677</v>
      </c>
      <c r="C312">
        <v>4</v>
      </c>
      <c r="D312" t="s">
        <v>63</v>
      </c>
    </row>
    <row r="313" spans="1:4" x14ac:dyDescent="0.25">
      <c r="A313" t="s">
        <v>142</v>
      </c>
      <c r="B313" s="2">
        <v>45678</v>
      </c>
      <c r="C313">
        <v>4</v>
      </c>
      <c r="D313" t="s">
        <v>63</v>
      </c>
    </row>
    <row r="314" spans="1:4" x14ac:dyDescent="0.25">
      <c r="A314" t="s">
        <v>77</v>
      </c>
      <c r="B314" s="2">
        <v>45679</v>
      </c>
      <c r="C314">
        <v>4</v>
      </c>
      <c r="D314" t="s">
        <v>63</v>
      </c>
    </row>
    <row r="315" spans="1:4" x14ac:dyDescent="0.25">
      <c r="A315" t="s">
        <v>126</v>
      </c>
      <c r="B315" s="2">
        <v>45680</v>
      </c>
      <c r="C315">
        <v>4</v>
      </c>
      <c r="D315" t="s">
        <v>63</v>
      </c>
    </row>
    <row r="316" spans="1:4" x14ac:dyDescent="0.25">
      <c r="A316" t="s">
        <v>135</v>
      </c>
      <c r="B316" s="2">
        <v>45681</v>
      </c>
      <c r="C316">
        <v>4</v>
      </c>
      <c r="D316" t="s">
        <v>63</v>
      </c>
    </row>
    <row r="317" spans="1:4" x14ac:dyDescent="0.25">
      <c r="A317" t="s">
        <v>68</v>
      </c>
      <c r="B317" s="2">
        <v>45684</v>
      </c>
      <c r="C317">
        <v>4</v>
      </c>
      <c r="D317" t="s">
        <v>55</v>
      </c>
    </row>
    <row r="318" spans="1:4" x14ac:dyDescent="0.25">
      <c r="A318" t="s">
        <v>386</v>
      </c>
      <c r="B318" s="2">
        <v>45685</v>
      </c>
      <c r="C318">
        <v>4</v>
      </c>
      <c r="D318" t="s">
        <v>55</v>
      </c>
    </row>
    <row r="319" spans="1:4" x14ac:dyDescent="0.25">
      <c r="A319" t="s">
        <v>79</v>
      </c>
      <c r="B319" s="2">
        <v>45686</v>
      </c>
      <c r="C319">
        <v>4</v>
      </c>
      <c r="D319" t="s">
        <v>55</v>
      </c>
    </row>
    <row r="320" spans="1:4" x14ac:dyDescent="0.25">
      <c r="A320" t="s">
        <v>64</v>
      </c>
      <c r="B320" s="2">
        <v>45687</v>
      </c>
      <c r="C320">
        <v>4</v>
      </c>
      <c r="D320" t="s">
        <v>55</v>
      </c>
    </row>
    <row r="321" spans="1:4" x14ac:dyDescent="0.25">
      <c r="A321" t="s">
        <v>112</v>
      </c>
      <c r="B321" s="2">
        <v>45688</v>
      </c>
      <c r="C321">
        <v>4</v>
      </c>
      <c r="D321" t="s">
        <v>55</v>
      </c>
    </row>
    <row r="322" spans="1:4" x14ac:dyDescent="0.25">
      <c r="A322" t="s">
        <v>104</v>
      </c>
      <c r="B322" s="2">
        <v>45673</v>
      </c>
      <c r="C322">
        <v>7.2</v>
      </c>
      <c r="D322" t="s">
        <v>55</v>
      </c>
    </row>
    <row r="323" spans="1:4" x14ac:dyDescent="0.25">
      <c r="A323" t="s">
        <v>116</v>
      </c>
      <c r="B323" s="2">
        <v>45714</v>
      </c>
      <c r="C323">
        <v>7.2</v>
      </c>
      <c r="D323" t="s">
        <v>53</v>
      </c>
    </row>
    <row r="324" spans="1:4" x14ac:dyDescent="0.25">
      <c r="A324" t="s">
        <v>64</v>
      </c>
      <c r="B324" s="2">
        <v>45689</v>
      </c>
      <c r="C324">
        <v>6</v>
      </c>
      <c r="D324" t="s">
        <v>54</v>
      </c>
    </row>
    <row r="325" spans="1:4" x14ac:dyDescent="0.25">
      <c r="A325" t="s">
        <v>90</v>
      </c>
      <c r="B325" s="2">
        <v>45691</v>
      </c>
      <c r="C325">
        <v>6</v>
      </c>
      <c r="D325" t="s">
        <v>54</v>
      </c>
    </row>
    <row r="326" spans="1:4" x14ac:dyDescent="0.25">
      <c r="A326" t="s">
        <v>101</v>
      </c>
      <c r="B326" s="2">
        <v>45694</v>
      </c>
      <c r="C326">
        <v>6</v>
      </c>
      <c r="D326" t="s">
        <v>54</v>
      </c>
    </row>
    <row r="327" spans="1:4" x14ac:dyDescent="0.25">
      <c r="A327" t="s">
        <v>118</v>
      </c>
      <c r="B327" s="2">
        <v>45695</v>
      </c>
      <c r="C327">
        <v>6</v>
      </c>
      <c r="D327" t="s">
        <v>54</v>
      </c>
    </row>
    <row r="328" spans="1:4" x14ac:dyDescent="0.25">
      <c r="A328" t="s">
        <v>93</v>
      </c>
      <c r="B328" s="2">
        <v>45696</v>
      </c>
      <c r="C328">
        <v>6</v>
      </c>
      <c r="D328" t="s">
        <v>54</v>
      </c>
    </row>
    <row r="329" spans="1:4" x14ac:dyDescent="0.25">
      <c r="A329" t="s">
        <v>102</v>
      </c>
      <c r="B329" s="2">
        <v>45697</v>
      </c>
      <c r="C329">
        <v>6</v>
      </c>
      <c r="D329" t="s">
        <v>54</v>
      </c>
    </row>
    <row r="330" spans="1:4" x14ac:dyDescent="0.25">
      <c r="A330" t="s">
        <v>107</v>
      </c>
      <c r="B330" s="2">
        <v>45703</v>
      </c>
      <c r="C330">
        <v>6</v>
      </c>
      <c r="D330" t="s">
        <v>54</v>
      </c>
    </row>
    <row r="331" spans="1:4" x14ac:dyDescent="0.25">
      <c r="A331" t="s">
        <v>93</v>
      </c>
      <c r="B331" s="2">
        <v>45704</v>
      </c>
      <c r="C331">
        <v>6</v>
      </c>
      <c r="D331" t="s">
        <v>54</v>
      </c>
    </row>
    <row r="332" spans="1:4" x14ac:dyDescent="0.25">
      <c r="A332" t="s">
        <v>138</v>
      </c>
      <c r="B332" s="2">
        <v>45706</v>
      </c>
      <c r="C332">
        <v>6</v>
      </c>
      <c r="D332" t="s">
        <v>54</v>
      </c>
    </row>
    <row r="333" spans="1:4" x14ac:dyDescent="0.25">
      <c r="A333" t="s">
        <v>88</v>
      </c>
      <c r="B333" s="2">
        <v>45707</v>
      </c>
      <c r="C333">
        <v>6</v>
      </c>
      <c r="D333" t="s">
        <v>54</v>
      </c>
    </row>
    <row r="334" spans="1:4" x14ac:dyDescent="0.25">
      <c r="A334" t="s">
        <v>140</v>
      </c>
      <c r="B334" s="2">
        <v>45709</v>
      </c>
      <c r="C334">
        <v>6</v>
      </c>
      <c r="D334" t="s">
        <v>54</v>
      </c>
    </row>
    <row r="335" spans="1:4" x14ac:dyDescent="0.25">
      <c r="A335" t="s">
        <v>133</v>
      </c>
      <c r="B335" s="2">
        <v>45711</v>
      </c>
      <c r="C335">
        <v>6</v>
      </c>
      <c r="D335" t="s">
        <v>54</v>
      </c>
    </row>
    <row r="336" spans="1:4" x14ac:dyDescent="0.25">
      <c r="A336" t="s">
        <v>118</v>
      </c>
      <c r="B336" s="2">
        <v>45712</v>
      </c>
      <c r="C336">
        <v>6</v>
      </c>
      <c r="D336" t="s">
        <v>54</v>
      </c>
    </row>
    <row r="337" spans="1:4" x14ac:dyDescent="0.25">
      <c r="A337" t="s">
        <v>142</v>
      </c>
      <c r="B337" s="2">
        <v>45713</v>
      </c>
      <c r="C337">
        <v>6</v>
      </c>
      <c r="D337" t="s">
        <v>54</v>
      </c>
    </row>
    <row r="338" spans="1:4" x14ac:dyDescent="0.25">
      <c r="A338" t="s">
        <v>142</v>
      </c>
      <c r="B338" s="2">
        <v>45715</v>
      </c>
      <c r="C338">
        <v>6</v>
      </c>
      <c r="D338" t="s">
        <v>54</v>
      </c>
    </row>
    <row r="339" spans="1:4" x14ac:dyDescent="0.25">
      <c r="A339" t="s">
        <v>77</v>
      </c>
      <c r="B339" s="2">
        <v>45707</v>
      </c>
      <c r="C339">
        <v>4</v>
      </c>
      <c r="D339" t="s">
        <v>55</v>
      </c>
    </row>
    <row r="340" spans="1:4" x14ac:dyDescent="0.25">
      <c r="A340" t="s">
        <v>107</v>
      </c>
      <c r="B340" s="2">
        <v>45708</v>
      </c>
      <c r="C340">
        <v>4</v>
      </c>
      <c r="D340" t="s">
        <v>55</v>
      </c>
    </row>
    <row r="341" spans="1:4" x14ac:dyDescent="0.25">
      <c r="A341" t="s">
        <v>381</v>
      </c>
      <c r="B341" s="2">
        <v>45716</v>
      </c>
      <c r="C341">
        <v>7.2</v>
      </c>
      <c r="D341" t="s">
        <v>55</v>
      </c>
    </row>
    <row r="342" spans="1:4" x14ac:dyDescent="0.25">
      <c r="A342" t="s">
        <v>136</v>
      </c>
      <c r="B342" s="2">
        <v>45689</v>
      </c>
      <c r="C342">
        <v>7.2</v>
      </c>
      <c r="D342" t="s">
        <v>54</v>
      </c>
    </row>
    <row r="343" spans="1:4" x14ac:dyDescent="0.25">
      <c r="A343" t="s">
        <v>93</v>
      </c>
      <c r="B343" s="2">
        <v>45690</v>
      </c>
      <c r="C343">
        <v>7.2</v>
      </c>
      <c r="D343" t="s">
        <v>54</v>
      </c>
    </row>
    <row r="344" spans="1:4" x14ac:dyDescent="0.25">
      <c r="A344" t="s">
        <v>122</v>
      </c>
      <c r="B344" s="2">
        <v>45694</v>
      </c>
      <c r="C344">
        <v>7.2</v>
      </c>
      <c r="D344" t="s">
        <v>54</v>
      </c>
    </row>
    <row r="345" spans="1:4" x14ac:dyDescent="0.25">
      <c r="A345" t="s">
        <v>122</v>
      </c>
      <c r="B345" s="2">
        <v>45696</v>
      </c>
      <c r="C345">
        <v>7.2</v>
      </c>
      <c r="D345" t="s">
        <v>54</v>
      </c>
    </row>
    <row r="346" spans="1:4" x14ac:dyDescent="0.25">
      <c r="A346" t="s">
        <v>101</v>
      </c>
      <c r="B346" s="2">
        <v>45697</v>
      </c>
      <c r="C346">
        <v>7.2</v>
      </c>
      <c r="D346" t="s">
        <v>54</v>
      </c>
    </row>
    <row r="347" spans="1:4" x14ac:dyDescent="0.25">
      <c r="A347" t="s">
        <v>91</v>
      </c>
      <c r="B347" s="2">
        <v>45698</v>
      </c>
      <c r="C347">
        <v>7.2</v>
      </c>
      <c r="D347" t="s">
        <v>54</v>
      </c>
    </row>
    <row r="348" spans="1:4" x14ac:dyDescent="0.25">
      <c r="A348" t="s">
        <v>72</v>
      </c>
      <c r="B348" s="2">
        <v>45703</v>
      </c>
      <c r="C348">
        <v>7.2</v>
      </c>
      <c r="D348" t="s">
        <v>54</v>
      </c>
    </row>
    <row r="349" spans="1:4" x14ac:dyDescent="0.25">
      <c r="A349" t="s">
        <v>67</v>
      </c>
      <c r="B349" s="2">
        <v>45704</v>
      </c>
      <c r="C349">
        <v>7.2</v>
      </c>
      <c r="D349" t="s">
        <v>54</v>
      </c>
    </row>
    <row r="350" spans="1:4" x14ac:dyDescent="0.25">
      <c r="A350" t="s">
        <v>386</v>
      </c>
      <c r="B350" s="2">
        <v>45705</v>
      </c>
      <c r="C350">
        <v>7.2</v>
      </c>
      <c r="D350" t="s">
        <v>54</v>
      </c>
    </row>
    <row r="351" spans="1:4" x14ac:dyDescent="0.25">
      <c r="A351" t="s">
        <v>387</v>
      </c>
      <c r="B351" s="2">
        <v>45711</v>
      </c>
      <c r="C351">
        <v>7.2</v>
      </c>
      <c r="D351" t="s">
        <v>54</v>
      </c>
    </row>
    <row r="352" spans="1:4" x14ac:dyDescent="0.25">
      <c r="A352" t="s">
        <v>130</v>
      </c>
      <c r="B352" s="2">
        <v>45712</v>
      </c>
      <c r="C352">
        <v>7.2</v>
      </c>
      <c r="D352" t="s">
        <v>54</v>
      </c>
    </row>
    <row r="353" spans="1:4" x14ac:dyDescent="0.25">
      <c r="A353" t="s">
        <v>147</v>
      </c>
      <c r="B353" s="2">
        <v>45713</v>
      </c>
      <c r="C353">
        <v>7.2</v>
      </c>
      <c r="D353" t="s">
        <v>54</v>
      </c>
    </row>
    <row r="354" spans="1:4" x14ac:dyDescent="0.25">
      <c r="A354" t="s">
        <v>86</v>
      </c>
      <c r="B354" s="2">
        <v>45699</v>
      </c>
      <c r="C354">
        <v>7.2</v>
      </c>
      <c r="D354" t="s">
        <v>55</v>
      </c>
    </row>
    <row r="355" spans="1:4" x14ac:dyDescent="0.25">
      <c r="A355" t="s">
        <v>146</v>
      </c>
      <c r="B355" s="2">
        <v>45700</v>
      </c>
      <c r="C355">
        <v>7.2</v>
      </c>
      <c r="D355" t="s">
        <v>55</v>
      </c>
    </row>
    <row r="356" spans="1:4" x14ac:dyDescent="0.25">
      <c r="A356" t="s">
        <v>143</v>
      </c>
      <c r="B356" s="2">
        <v>45701</v>
      </c>
      <c r="C356">
        <v>7.2</v>
      </c>
      <c r="D356" t="s">
        <v>55</v>
      </c>
    </row>
    <row r="357" spans="1:4" x14ac:dyDescent="0.25">
      <c r="A357" t="s">
        <v>127</v>
      </c>
      <c r="B357" s="2">
        <v>45691</v>
      </c>
      <c r="C357">
        <v>7.2</v>
      </c>
      <c r="D357" t="s">
        <v>63</v>
      </c>
    </row>
    <row r="358" spans="1:4" x14ac:dyDescent="0.25">
      <c r="A358" t="s">
        <v>97</v>
      </c>
      <c r="B358" s="2">
        <v>45692</v>
      </c>
      <c r="C358">
        <v>7.2</v>
      </c>
      <c r="D358" t="s">
        <v>55</v>
      </c>
    </row>
    <row r="359" spans="1:4" x14ac:dyDescent="0.25">
      <c r="A359" t="s">
        <v>67</v>
      </c>
      <c r="B359" s="2">
        <v>45694</v>
      </c>
      <c r="C359">
        <v>7.2</v>
      </c>
      <c r="D359" t="s">
        <v>55</v>
      </c>
    </row>
    <row r="360" spans="1:4" x14ac:dyDescent="0.25">
      <c r="A360" t="s">
        <v>98</v>
      </c>
      <c r="B360" s="2">
        <v>45695</v>
      </c>
      <c r="C360">
        <v>7.2</v>
      </c>
      <c r="D360" t="s">
        <v>55</v>
      </c>
    </row>
    <row r="361" spans="1:4" x14ac:dyDescent="0.25">
      <c r="A361" t="s">
        <v>379</v>
      </c>
      <c r="B361" s="2">
        <v>45696</v>
      </c>
      <c r="C361">
        <v>7.2</v>
      </c>
      <c r="D361" t="s">
        <v>55</v>
      </c>
    </row>
    <row r="362" spans="1:4" x14ac:dyDescent="0.25">
      <c r="A362" t="s">
        <v>131</v>
      </c>
      <c r="B362" s="2">
        <v>45697</v>
      </c>
      <c r="C362">
        <v>7.2</v>
      </c>
      <c r="D362" t="s">
        <v>55</v>
      </c>
    </row>
    <row r="363" spans="1:4" x14ac:dyDescent="0.25">
      <c r="A363" t="s">
        <v>131</v>
      </c>
      <c r="B363" s="2">
        <v>45698</v>
      </c>
      <c r="C363">
        <v>7.2</v>
      </c>
      <c r="D363" t="s">
        <v>55</v>
      </c>
    </row>
    <row r="364" spans="1:4" x14ac:dyDescent="0.25">
      <c r="A364" t="s">
        <v>148</v>
      </c>
      <c r="B364" s="2">
        <v>45699</v>
      </c>
      <c r="C364">
        <v>7.2</v>
      </c>
      <c r="D364" t="s">
        <v>55</v>
      </c>
    </row>
    <row r="365" spans="1:4" x14ac:dyDescent="0.25">
      <c r="A365" t="s">
        <v>383</v>
      </c>
      <c r="B365" s="2">
        <v>45700</v>
      </c>
      <c r="C365">
        <v>7.2</v>
      </c>
      <c r="D365" t="s">
        <v>55</v>
      </c>
    </row>
    <row r="366" spans="1:4" x14ac:dyDescent="0.25">
      <c r="A366" t="s">
        <v>126</v>
      </c>
      <c r="B366" s="2">
        <v>45701</v>
      </c>
      <c r="C366">
        <v>7.2</v>
      </c>
      <c r="D366" t="s">
        <v>55</v>
      </c>
    </row>
    <row r="367" spans="1:4" x14ac:dyDescent="0.25">
      <c r="A367" t="s">
        <v>82</v>
      </c>
      <c r="B367" s="2">
        <v>45702</v>
      </c>
      <c r="C367">
        <v>7.2</v>
      </c>
      <c r="D367" t="s">
        <v>55</v>
      </c>
    </row>
    <row r="368" spans="1:4" x14ac:dyDescent="0.25">
      <c r="A368" t="s">
        <v>69</v>
      </c>
      <c r="B368" s="2">
        <v>45703</v>
      </c>
      <c r="C368">
        <v>7.2</v>
      </c>
      <c r="D368" t="s">
        <v>55</v>
      </c>
    </row>
    <row r="369" spans="1:4" x14ac:dyDescent="0.25">
      <c r="A369" t="s">
        <v>106</v>
      </c>
      <c r="B369" s="2">
        <v>45704</v>
      </c>
      <c r="C369">
        <v>7.2</v>
      </c>
      <c r="D369" t="s">
        <v>55</v>
      </c>
    </row>
    <row r="370" spans="1:4" x14ac:dyDescent="0.25">
      <c r="A370" t="s">
        <v>85</v>
      </c>
      <c r="B370" s="2">
        <v>45705</v>
      </c>
      <c r="C370">
        <v>7.2</v>
      </c>
      <c r="D370" t="s">
        <v>55</v>
      </c>
    </row>
    <row r="371" spans="1:4" x14ac:dyDescent="0.25">
      <c r="A371" t="s">
        <v>132</v>
      </c>
      <c r="B371" s="2">
        <v>45706</v>
      </c>
      <c r="C371">
        <v>7.2</v>
      </c>
      <c r="D371" t="s">
        <v>55</v>
      </c>
    </row>
    <row r="372" spans="1:4" x14ac:dyDescent="0.25">
      <c r="A372" t="s">
        <v>146</v>
      </c>
      <c r="B372" s="2">
        <v>45707</v>
      </c>
      <c r="C372">
        <v>7.2</v>
      </c>
      <c r="D372" t="s">
        <v>55</v>
      </c>
    </row>
    <row r="373" spans="1:4" x14ac:dyDescent="0.25">
      <c r="A373" t="s">
        <v>73</v>
      </c>
      <c r="B373" s="2">
        <v>45708</v>
      </c>
      <c r="C373">
        <v>7.2</v>
      </c>
      <c r="D373" t="s">
        <v>55</v>
      </c>
    </row>
    <row r="374" spans="1:4" x14ac:dyDescent="0.25">
      <c r="A374" t="s">
        <v>97</v>
      </c>
      <c r="B374" s="2">
        <v>45709</v>
      </c>
      <c r="C374">
        <v>7.2</v>
      </c>
      <c r="D374" t="s">
        <v>55</v>
      </c>
    </row>
    <row r="375" spans="1:4" x14ac:dyDescent="0.25">
      <c r="A375" t="s">
        <v>383</v>
      </c>
      <c r="B375" s="2">
        <v>45710</v>
      </c>
      <c r="C375">
        <v>7.2</v>
      </c>
      <c r="D375" t="s">
        <v>55</v>
      </c>
    </row>
    <row r="376" spans="1:4" x14ac:dyDescent="0.25">
      <c r="A376" t="s">
        <v>95</v>
      </c>
      <c r="B376" s="2">
        <v>45711</v>
      </c>
      <c r="C376">
        <v>7.2</v>
      </c>
      <c r="D376" t="s">
        <v>55</v>
      </c>
    </row>
    <row r="377" spans="1:4" x14ac:dyDescent="0.25">
      <c r="A377" t="s">
        <v>375</v>
      </c>
      <c r="B377" s="2">
        <v>45712</v>
      </c>
      <c r="C377">
        <v>7.2</v>
      </c>
      <c r="D377" t="s">
        <v>55</v>
      </c>
    </row>
    <row r="378" spans="1:4" x14ac:dyDescent="0.25">
      <c r="A378" t="s">
        <v>375</v>
      </c>
      <c r="B378" s="2">
        <v>45713</v>
      </c>
      <c r="C378">
        <v>7.2</v>
      </c>
      <c r="D378" t="s">
        <v>55</v>
      </c>
    </row>
    <row r="379" spans="1:4" x14ac:dyDescent="0.25">
      <c r="A379" t="s">
        <v>70</v>
      </c>
      <c r="B379" s="2">
        <v>45714</v>
      </c>
      <c r="C379">
        <v>7.2</v>
      </c>
      <c r="D379" t="s">
        <v>55</v>
      </c>
    </row>
    <row r="380" spans="1:4" x14ac:dyDescent="0.25">
      <c r="A380" t="s">
        <v>117</v>
      </c>
      <c r="B380" s="2">
        <v>45715</v>
      </c>
      <c r="C380">
        <v>7.2</v>
      </c>
      <c r="D380" t="s">
        <v>55</v>
      </c>
    </row>
    <row r="381" spans="1:4" x14ac:dyDescent="0.25">
      <c r="A381" t="s">
        <v>114</v>
      </c>
      <c r="B381" s="2">
        <v>45716</v>
      </c>
      <c r="C381">
        <v>7.2</v>
      </c>
      <c r="D381" t="s">
        <v>55</v>
      </c>
    </row>
    <row r="382" spans="1:4" x14ac:dyDescent="0.25">
      <c r="A382" t="s">
        <v>98</v>
      </c>
      <c r="B382" s="2">
        <v>45706</v>
      </c>
      <c r="C382">
        <v>7.2</v>
      </c>
      <c r="D382" t="s">
        <v>53</v>
      </c>
    </row>
    <row r="383" spans="1:4" x14ac:dyDescent="0.25">
      <c r="A383" t="s">
        <v>65</v>
      </c>
      <c r="B383" s="2">
        <v>45707</v>
      </c>
      <c r="C383">
        <v>7.2</v>
      </c>
      <c r="D383" t="s">
        <v>53</v>
      </c>
    </row>
    <row r="384" spans="1:4" x14ac:dyDescent="0.25">
      <c r="A384" t="s">
        <v>384</v>
      </c>
      <c r="B384" s="2">
        <v>45713</v>
      </c>
      <c r="C384">
        <v>7.2</v>
      </c>
      <c r="D384" t="s">
        <v>53</v>
      </c>
    </row>
    <row r="385" spans="1:4" x14ac:dyDescent="0.25">
      <c r="A385" t="s">
        <v>148</v>
      </c>
      <c r="B385" s="2">
        <v>45712</v>
      </c>
      <c r="C385">
        <v>6</v>
      </c>
      <c r="D385" t="s">
        <v>55</v>
      </c>
    </row>
    <row r="386" spans="1:4" x14ac:dyDescent="0.25">
      <c r="A386" t="s">
        <v>87</v>
      </c>
      <c r="B386" s="2">
        <v>45699</v>
      </c>
      <c r="C386">
        <v>6</v>
      </c>
      <c r="D386" t="s">
        <v>55</v>
      </c>
    </row>
    <row r="387" spans="1:4" x14ac:dyDescent="0.25">
      <c r="A387" t="s">
        <v>66</v>
      </c>
      <c r="B387" s="2">
        <v>45700</v>
      </c>
      <c r="C387">
        <v>6</v>
      </c>
      <c r="D387" t="s">
        <v>55</v>
      </c>
    </row>
    <row r="388" spans="1:4" x14ac:dyDescent="0.25">
      <c r="A388" t="s">
        <v>145</v>
      </c>
      <c r="B388" s="2">
        <v>45701</v>
      </c>
      <c r="C388">
        <v>6</v>
      </c>
      <c r="D388" t="s">
        <v>55</v>
      </c>
    </row>
    <row r="389" spans="1:4" x14ac:dyDescent="0.25">
      <c r="A389" t="s">
        <v>106</v>
      </c>
      <c r="B389" s="2">
        <v>45702</v>
      </c>
      <c r="C389">
        <v>6</v>
      </c>
      <c r="D389" t="s">
        <v>55</v>
      </c>
    </row>
    <row r="390" spans="1:4" x14ac:dyDescent="0.25">
      <c r="A390" t="s">
        <v>76</v>
      </c>
      <c r="B390" s="2">
        <v>45703</v>
      </c>
      <c r="C390">
        <v>6</v>
      </c>
      <c r="D390" t="s">
        <v>55</v>
      </c>
    </row>
    <row r="391" spans="1:4" x14ac:dyDescent="0.25">
      <c r="A391" t="s">
        <v>88</v>
      </c>
      <c r="B391" s="2">
        <v>45704</v>
      </c>
      <c r="C391">
        <v>6</v>
      </c>
      <c r="D391" t="s">
        <v>55</v>
      </c>
    </row>
    <row r="392" spans="1:4" x14ac:dyDescent="0.25">
      <c r="A392" t="s">
        <v>101</v>
      </c>
      <c r="B392" s="2">
        <v>45691</v>
      </c>
      <c r="C392">
        <v>7.2</v>
      </c>
      <c r="D392" t="s">
        <v>54</v>
      </c>
    </row>
    <row r="393" spans="1:4" x14ac:dyDescent="0.25">
      <c r="A393" t="s">
        <v>136</v>
      </c>
      <c r="B393" s="2">
        <v>45695</v>
      </c>
      <c r="C393">
        <v>7.2</v>
      </c>
      <c r="D393" t="s">
        <v>54</v>
      </c>
    </row>
    <row r="394" spans="1:4" x14ac:dyDescent="0.25">
      <c r="A394" t="s">
        <v>72</v>
      </c>
      <c r="B394" s="2">
        <v>45701</v>
      </c>
      <c r="C394">
        <v>7.2</v>
      </c>
      <c r="D394" t="s">
        <v>54</v>
      </c>
    </row>
    <row r="395" spans="1:4" x14ac:dyDescent="0.25">
      <c r="A395" t="s">
        <v>147</v>
      </c>
      <c r="B395" s="2">
        <v>45705</v>
      </c>
      <c r="C395">
        <v>7.2</v>
      </c>
      <c r="D395" t="s">
        <v>54</v>
      </c>
    </row>
    <row r="396" spans="1:4" x14ac:dyDescent="0.25">
      <c r="A396" t="s">
        <v>120</v>
      </c>
      <c r="B396" s="2">
        <v>45708</v>
      </c>
      <c r="C396">
        <v>7.2</v>
      </c>
      <c r="D396" t="s">
        <v>54</v>
      </c>
    </row>
    <row r="397" spans="1:4" x14ac:dyDescent="0.25">
      <c r="A397" t="s">
        <v>128</v>
      </c>
      <c r="B397" s="2">
        <v>45709</v>
      </c>
      <c r="C397">
        <v>7.2</v>
      </c>
      <c r="D397" t="s">
        <v>54</v>
      </c>
    </row>
    <row r="398" spans="1:4" x14ac:dyDescent="0.25">
      <c r="A398" t="s">
        <v>379</v>
      </c>
      <c r="B398" s="2">
        <v>45712</v>
      </c>
      <c r="C398">
        <v>7.2</v>
      </c>
      <c r="D398" t="s">
        <v>54</v>
      </c>
    </row>
    <row r="399" spans="1:4" x14ac:dyDescent="0.25">
      <c r="A399" t="s">
        <v>384</v>
      </c>
      <c r="B399" s="2">
        <v>45713</v>
      </c>
      <c r="C399">
        <v>7.2</v>
      </c>
      <c r="D399" t="s">
        <v>54</v>
      </c>
    </row>
    <row r="400" spans="1:4" x14ac:dyDescent="0.25">
      <c r="A400" t="s">
        <v>119</v>
      </c>
      <c r="B400" s="2">
        <v>45705</v>
      </c>
      <c r="C400">
        <v>7</v>
      </c>
      <c r="D400" t="s">
        <v>55</v>
      </c>
    </row>
    <row r="401" spans="1:4" x14ac:dyDescent="0.25">
      <c r="A401" t="s">
        <v>74</v>
      </c>
      <c r="B401" s="2">
        <v>45716</v>
      </c>
      <c r="C401">
        <v>7.2</v>
      </c>
      <c r="D401" t="s">
        <v>55</v>
      </c>
    </row>
    <row r="402" spans="1:4" x14ac:dyDescent="0.25">
      <c r="A402" t="s">
        <v>98</v>
      </c>
      <c r="B402" s="2">
        <v>45698</v>
      </c>
      <c r="C402">
        <v>7.2</v>
      </c>
      <c r="D402" t="s">
        <v>55</v>
      </c>
    </row>
    <row r="403" spans="1:4" x14ac:dyDescent="0.25">
      <c r="A403" t="s">
        <v>87</v>
      </c>
      <c r="B403" s="2">
        <v>45699</v>
      </c>
      <c r="C403">
        <v>7.2</v>
      </c>
      <c r="D403" t="s">
        <v>55</v>
      </c>
    </row>
    <row r="404" spans="1:4" x14ac:dyDescent="0.25">
      <c r="A404" t="s">
        <v>71</v>
      </c>
      <c r="B404" s="2">
        <v>45691</v>
      </c>
      <c r="C404">
        <v>7.2</v>
      </c>
      <c r="D404" t="s">
        <v>55</v>
      </c>
    </row>
    <row r="405" spans="1:4" x14ac:dyDescent="0.25">
      <c r="A405" t="s">
        <v>387</v>
      </c>
      <c r="B405" s="2">
        <v>45692</v>
      </c>
      <c r="C405">
        <v>7.2</v>
      </c>
      <c r="D405" t="s">
        <v>55</v>
      </c>
    </row>
    <row r="406" spans="1:4" x14ac:dyDescent="0.25">
      <c r="A406" t="s">
        <v>142</v>
      </c>
      <c r="B406" s="2">
        <v>45695</v>
      </c>
      <c r="C406">
        <v>7.2</v>
      </c>
      <c r="D406" t="s">
        <v>53</v>
      </c>
    </row>
    <row r="407" spans="1:4" x14ac:dyDescent="0.25">
      <c r="A407" t="s">
        <v>76</v>
      </c>
      <c r="B407" s="2">
        <v>45702</v>
      </c>
      <c r="C407">
        <v>7.2</v>
      </c>
      <c r="D407" t="s">
        <v>53</v>
      </c>
    </row>
    <row r="408" spans="1:4" x14ac:dyDescent="0.25">
      <c r="A408" t="s">
        <v>377</v>
      </c>
      <c r="B408" s="2">
        <v>45691</v>
      </c>
      <c r="C408">
        <v>6</v>
      </c>
      <c r="D408" t="s">
        <v>54</v>
      </c>
    </row>
    <row r="409" spans="1:4" x14ac:dyDescent="0.25">
      <c r="A409" t="s">
        <v>112</v>
      </c>
      <c r="B409" s="2">
        <v>45692</v>
      </c>
      <c r="C409">
        <v>6</v>
      </c>
      <c r="D409" t="s">
        <v>54</v>
      </c>
    </row>
    <row r="410" spans="1:4" x14ac:dyDescent="0.25">
      <c r="A410" t="s">
        <v>104</v>
      </c>
      <c r="B410" s="2">
        <v>45694</v>
      </c>
      <c r="C410">
        <v>6</v>
      </c>
      <c r="D410" t="s">
        <v>54</v>
      </c>
    </row>
    <row r="411" spans="1:4" x14ac:dyDescent="0.25">
      <c r="A411" t="s">
        <v>145</v>
      </c>
      <c r="B411" s="2">
        <v>45695</v>
      </c>
      <c r="C411">
        <v>6</v>
      </c>
      <c r="D411" t="s">
        <v>54</v>
      </c>
    </row>
    <row r="412" spans="1:4" x14ac:dyDescent="0.25">
      <c r="A412" t="s">
        <v>107</v>
      </c>
      <c r="B412" s="2">
        <v>45696</v>
      </c>
      <c r="C412">
        <v>6</v>
      </c>
      <c r="D412" t="s">
        <v>54</v>
      </c>
    </row>
    <row r="413" spans="1:4" x14ac:dyDescent="0.25">
      <c r="A413" t="s">
        <v>95</v>
      </c>
      <c r="B413" s="2">
        <v>45697</v>
      </c>
      <c r="C413">
        <v>6</v>
      </c>
      <c r="D413" t="s">
        <v>54</v>
      </c>
    </row>
    <row r="414" spans="1:4" x14ac:dyDescent="0.25">
      <c r="A414" t="s">
        <v>118</v>
      </c>
      <c r="B414" s="2">
        <v>45698</v>
      </c>
      <c r="C414">
        <v>6</v>
      </c>
      <c r="D414" t="s">
        <v>54</v>
      </c>
    </row>
    <row r="415" spans="1:4" x14ac:dyDescent="0.25">
      <c r="A415" t="s">
        <v>149</v>
      </c>
      <c r="B415" s="2">
        <v>45700</v>
      </c>
      <c r="C415">
        <v>6</v>
      </c>
      <c r="D415" t="s">
        <v>54</v>
      </c>
    </row>
    <row r="416" spans="1:4" x14ac:dyDescent="0.25">
      <c r="A416" t="s">
        <v>113</v>
      </c>
      <c r="B416" s="2">
        <v>45701</v>
      </c>
      <c r="C416">
        <v>6</v>
      </c>
      <c r="D416" t="s">
        <v>54</v>
      </c>
    </row>
    <row r="417" spans="1:4" x14ac:dyDescent="0.25">
      <c r="A417" t="s">
        <v>95</v>
      </c>
      <c r="B417" s="2">
        <v>45703</v>
      </c>
      <c r="C417">
        <v>6</v>
      </c>
      <c r="D417" t="s">
        <v>54</v>
      </c>
    </row>
    <row r="418" spans="1:4" x14ac:dyDescent="0.25">
      <c r="A418" t="s">
        <v>116</v>
      </c>
      <c r="B418" s="2">
        <v>45704</v>
      </c>
      <c r="C418">
        <v>6</v>
      </c>
      <c r="D418" t="s">
        <v>54</v>
      </c>
    </row>
    <row r="419" spans="1:4" x14ac:dyDescent="0.25">
      <c r="A419" t="s">
        <v>387</v>
      </c>
      <c r="B419" s="2">
        <v>45705</v>
      </c>
      <c r="C419">
        <v>6</v>
      </c>
      <c r="D419" t="s">
        <v>54</v>
      </c>
    </row>
    <row r="420" spans="1:4" x14ac:dyDescent="0.25">
      <c r="A420" t="s">
        <v>70</v>
      </c>
      <c r="B420" s="2">
        <v>45711</v>
      </c>
      <c r="C420">
        <v>6</v>
      </c>
      <c r="D420" t="s">
        <v>54</v>
      </c>
    </row>
    <row r="421" spans="1:4" x14ac:dyDescent="0.25">
      <c r="A421" t="s">
        <v>134</v>
      </c>
      <c r="B421" s="2">
        <v>45712</v>
      </c>
      <c r="C421">
        <v>6</v>
      </c>
      <c r="D421" t="s">
        <v>54</v>
      </c>
    </row>
    <row r="422" spans="1:4" x14ac:dyDescent="0.25">
      <c r="A422" t="s">
        <v>147</v>
      </c>
      <c r="B422" s="2">
        <v>45714</v>
      </c>
      <c r="C422">
        <v>6</v>
      </c>
      <c r="D422" t="s">
        <v>54</v>
      </c>
    </row>
    <row r="423" spans="1:4" x14ac:dyDescent="0.25">
      <c r="A423" t="s">
        <v>387</v>
      </c>
      <c r="B423" s="2">
        <v>45715</v>
      </c>
      <c r="C423">
        <v>6</v>
      </c>
      <c r="D423" t="s">
        <v>54</v>
      </c>
    </row>
    <row r="424" spans="1:4" x14ac:dyDescent="0.25">
      <c r="A424" t="s">
        <v>132</v>
      </c>
      <c r="B424" s="2">
        <v>45712</v>
      </c>
      <c r="C424">
        <v>7</v>
      </c>
      <c r="D424" t="s">
        <v>55</v>
      </c>
    </row>
    <row r="425" spans="1:4" x14ac:dyDescent="0.25">
      <c r="A425" t="s">
        <v>135</v>
      </c>
      <c r="B425" s="2">
        <v>45713</v>
      </c>
      <c r="C425">
        <v>7</v>
      </c>
      <c r="D425" t="s">
        <v>55</v>
      </c>
    </row>
    <row r="426" spans="1:4" x14ac:dyDescent="0.25">
      <c r="A426" t="s">
        <v>134</v>
      </c>
      <c r="B426" s="2">
        <v>45714</v>
      </c>
      <c r="C426">
        <v>7</v>
      </c>
      <c r="D426" t="s">
        <v>55</v>
      </c>
    </row>
    <row r="427" spans="1:4" x14ac:dyDescent="0.25">
      <c r="A427" t="s">
        <v>126</v>
      </c>
      <c r="B427" s="2">
        <v>45709</v>
      </c>
      <c r="C427">
        <v>7.2</v>
      </c>
      <c r="D427" t="s">
        <v>55</v>
      </c>
    </row>
    <row r="428" spans="1:4" x14ac:dyDescent="0.25">
      <c r="A428" t="s">
        <v>87</v>
      </c>
      <c r="B428" s="2">
        <v>45714</v>
      </c>
      <c r="C428">
        <v>7.2</v>
      </c>
      <c r="D428" t="s">
        <v>55</v>
      </c>
    </row>
    <row r="429" spans="1:4" x14ac:dyDescent="0.25">
      <c r="A429" t="s">
        <v>142</v>
      </c>
      <c r="B429" s="2">
        <v>45715</v>
      </c>
      <c r="C429">
        <v>7.2</v>
      </c>
      <c r="D429" t="s">
        <v>55</v>
      </c>
    </row>
    <row r="430" spans="1:4" x14ac:dyDescent="0.25">
      <c r="A430" t="s">
        <v>76</v>
      </c>
      <c r="B430" s="2">
        <v>45695</v>
      </c>
      <c r="C430">
        <v>7.2</v>
      </c>
      <c r="D430" t="s">
        <v>55</v>
      </c>
    </row>
    <row r="431" spans="1:4" x14ac:dyDescent="0.25">
      <c r="A431" t="s">
        <v>121</v>
      </c>
      <c r="B431" s="2">
        <v>45716</v>
      </c>
      <c r="C431">
        <v>7.2</v>
      </c>
      <c r="D431" t="s">
        <v>55</v>
      </c>
    </row>
    <row r="432" spans="1:4" x14ac:dyDescent="0.25">
      <c r="A432" t="s">
        <v>104</v>
      </c>
      <c r="B432" s="2">
        <v>45691</v>
      </c>
      <c r="C432">
        <v>6</v>
      </c>
      <c r="D432" t="s">
        <v>54</v>
      </c>
    </row>
    <row r="433" spans="1:4" x14ac:dyDescent="0.25">
      <c r="A433" t="s">
        <v>75</v>
      </c>
      <c r="B433" s="2">
        <v>45692</v>
      </c>
      <c r="C433">
        <v>6</v>
      </c>
      <c r="D433" t="s">
        <v>54</v>
      </c>
    </row>
    <row r="434" spans="1:4" x14ac:dyDescent="0.25">
      <c r="A434" t="s">
        <v>117</v>
      </c>
      <c r="B434" s="2">
        <v>45706</v>
      </c>
      <c r="C434">
        <v>7.2</v>
      </c>
      <c r="D434" t="s">
        <v>55</v>
      </c>
    </row>
    <row r="435" spans="1:4" x14ac:dyDescent="0.25">
      <c r="A435" t="s">
        <v>73</v>
      </c>
      <c r="B435" s="2">
        <v>45712</v>
      </c>
      <c r="C435">
        <v>7.2</v>
      </c>
      <c r="D435" t="s">
        <v>55</v>
      </c>
    </row>
    <row r="436" spans="1:4" x14ac:dyDescent="0.25">
      <c r="A436" t="s">
        <v>146</v>
      </c>
      <c r="B436" s="2">
        <v>45713</v>
      </c>
      <c r="C436">
        <v>7.2</v>
      </c>
      <c r="D436" t="s">
        <v>55</v>
      </c>
    </row>
    <row r="437" spans="1:4" x14ac:dyDescent="0.25">
      <c r="A437" t="s">
        <v>74</v>
      </c>
      <c r="B437" s="2">
        <v>45714</v>
      </c>
      <c r="C437">
        <v>7.2</v>
      </c>
      <c r="D437" t="s">
        <v>55</v>
      </c>
    </row>
    <row r="438" spans="1:4" x14ac:dyDescent="0.25">
      <c r="A438" t="s">
        <v>80</v>
      </c>
      <c r="B438" s="2">
        <v>45715</v>
      </c>
      <c r="C438">
        <v>7.2</v>
      </c>
      <c r="D438" t="s">
        <v>55</v>
      </c>
    </row>
    <row r="439" spans="1:4" x14ac:dyDescent="0.25">
      <c r="A439" t="s">
        <v>105</v>
      </c>
      <c r="B439" s="2">
        <v>45716</v>
      </c>
      <c r="C439">
        <v>7.2</v>
      </c>
      <c r="D439" t="s">
        <v>55</v>
      </c>
    </row>
    <row r="440" spans="1:4" x14ac:dyDescent="0.25">
      <c r="A440" t="s">
        <v>71</v>
      </c>
      <c r="B440" s="2">
        <v>45712</v>
      </c>
      <c r="C440">
        <v>5.25</v>
      </c>
      <c r="D440" t="s">
        <v>55</v>
      </c>
    </row>
    <row r="441" spans="1:4" x14ac:dyDescent="0.25">
      <c r="A441" t="s">
        <v>126</v>
      </c>
      <c r="B441" s="2">
        <v>45713</v>
      </c>
      <c r="C441">
        <v>7.2</v>
      </c>
      <c r="D441" t="s">
        <v>55</v>
      </c>
    </row>
    <row r="442" spans="1:4" x14ac:dyDescent="0.25">
      <c r="A442" t="s">
        <v>143</v>
      </c>
      <c r="B442" s="2">
        <v>45694</v>
      </c>
      <c r="C442">
        <v>7</v>
      </c>
      <c r="D442" t="s">
        <v>55</v>
      </c>
    </row>
    <row r="443" spans="1:4" x14ac:dyDescent="0.25">
      <c r="A443" t="s">
        <v>98</v>
      </c>
      <c r="B443" s="2">
        <v>45695</v>
      </c>
      <c r="C443">
        <v>7</v>
      </c>
      <c r="D443" t="s">
        <v>55</v>
      </c>
    </row>
    <row r="444" spans="1:4" x14ac:dyDescent="0.25">
      <c r="A444" t="s">
        <v>80</v>
      </c>
      <c r="B444" s="2">
        <v>45707</v>
      </c>
      <c r="C444">
        <v>7.2</v>
      </c>
      <c r="D444" t="s">
        <v>55</v>
      </c>
    </row>
    <row r="445" spans="1:4" x14ac:dyDescent="0.25">
      <c r="A445" t="s">
        <v>101</v>
      </c>
      <c r="B445" s="2">
        <v>45691</v>
      </c>
      <c r="C445">
        <v>7.2</v>
      </c>
      <c r="D445" t="s">
        <v>55</v>
      </c>
    </row>
    <row r="446" spans="1:4" x14ac:dyDescent="0.25">
      <c r="A446" t="s">
        <v>72</v>
      </c>
      <c r="B446" s="2">
        <v>45705</v>
      </c>
      <c r="C446">
        <v>7.2</v>
      </c>
      <c r="D446" t="s">
        <v>55</v>
      </c>
    </row>
    <row r="447" spans="1:4" x14ac:dyDescent="0.25">
      <c r="A447" t="s">
        <v>76</v>
      </c>
      <c r="B447" s="2">
        <v>45706</v>
      </c>
      <c r="C447">
        <v>7.2</v>
      </c>
      <c r="D447" t="s">
        <v>55</v>
      </c>
    </row>
    <row r="448" spans="1:4" x14ac:dyDescent="0.25">
      <c r="A448" t="s">
        <v>379</v>
      </c>
      <c r="B448" s="2">
        <v>45694</v>
      </c>
      <c r="C448">
        <v>7.2</v>
      </c>
      <c r="D448" t="s">
        <v>55</v>
      </c>
    </row>
    <row r="449" spans="1:4" x14ac:dyDescent="0.25">
      <c r="A449" t="s">
        <v>378</v>
      </c>
      <c r="B449" s="2">
        <v>45695</v>
      </c>
      <c r="C449">
        <v>7.2</v>
      </c>
      <c r="D449" t="s">
        <v>55</v>
      </c>
    </row>
    <row r="450" spans="1:4" x14ac:dyDescent="0.25">
      <c r="A450" t="s">
        <v>103</v>
      </c>
      <c r="B450" s="2">
        <v>45698</v>
      </c>
      <c r="C450">
        <v>7.2</v>
      </c>
      <c r="D450" t="s">
        <v>55</v>
      </c>
    </row>
    <row r="451" spans="1:4" x14ac:dyDescent="0.25">
      <c r="A451" t="s">
        <v>64</v>
      </c>
      <c r="B451" s="2">
        <v>45699</v>
      </c>
      <c r="C451">
        <v>7.2</v>
      </c>
      <c r="D451" t="s">
        <v>55</v>
      </c>
    </row>
    <row r="452" spans="1:4" x14ac:dyDescent="0.25">
      <c r="A452" t="s">
        <v>135</v>
      </c>
      <c r="B452" s="2">
        <v>45698</v>
      </c>
      <c r="C452">
        <v>7</v>
      </c>
      <c r="D452" t="s">
        <v>55</v>
      </c>
    </row>
    <row r="453" spans="1:4" x14ac:dyDescent="0.25">
      <c r="A453" t="s">
        <v>109</v>
      </c>
      <c r="B453" s="2">
        <v>45714</v>
      </c>
      <c r="C453">
        <v>7</v>
      </c>
      <c r="D453" t="s">
        <v>55</v>
      </c>
    </row>
    <row r="454" spans="1:4" x14ac:dyDescent="0.25">
      <c r="A454" t="s">
        <v>131</v>
      </c>
      <c r="B454" s="2">
        <v>45695</v>
      </c>
      <c r="C454">
        <v>7.2</v>
      </c>
      <c r="D454" t="s">
        <v>54</v>
      </c>
    </row>
    <row r="455" spans="1:4" x14ac:dyDescent="0.25">
      <c r="A455" t="s">
        <v>75</v>
      </c>
      <c r="B455" s="2">
        <v>45705</v>
      </c>
      <c r="C455">
        <v>7.2</v>
      </c>
      <c r="D455" t="s">
        <v>54</v>
      </c>
    </row>
    <row r="456" spans="1:4" x14ac:dyDescent="0.25">
      <c r="A456" t="s">
        <v>77</v>
      </c>
      <c r="B456" s="2">
        <v>45706</v>
      </c>
      <c r="C456">
        <v>7.2</v>
      </c>
      <c r="D456" t="s">
        <v>54</v>
      </c>
    </row>
    <row r="457" spans="1:4" x14ac:dyDescent="0.25">
      <c r="A457" t="s">
        <v>101</v>
      </c>
      <c r="B457" s="2">
        <v>45714</v>
      </c>
      <c r="C457">
        <v>7.2</v>
      </c>
      <c r="D457" t="s">
        <v>54</v>
      </c>
    </row>
    <row r="458" spans="1:4" x14ac:dyDescent="0.25">
      <c r="A458" t="s">
        <v>101</v>
      </c>
      <c r="B458" s="2">
        <v>45689</v>
      </c>
      <c r="C458">
        <v>6</v>
      </c>
      <c r="D458" t="s">
        <v>54</v>
      </c>
    </row>
    <row r="459" spans="1:4" x14ac:dyDescent="0.25">
      <c r="A459" t="s">
        <v>88</v>
      </c>
      <c r="B459" s="2">
        <v>45691</v>
      </c>
      <c r="C459">
        <v>6</v>
      </c>
      <c r="D459" t="s">
        <v>54</v>
      </c>
    </row>
    <row r="460" spans="1:4" x14ac:dyDescent="0.25">
      <c r="A460" t="s">
        <v>133</v>
      </c>
      <c r="B460" s="2">
        <v>45695</v>
      </c>
      <c r="C460">
        <v>6</v>
      </c>
      <c r="D460" t="s">
        <v>54</v>
      </c>
    </row>
    <row r="461" spans="1:4" x14ac:dyDescent="0.25">
      <c r="A461" t="s">
        <v>104</v>
      </c>
      <c r="B461" s="2">
        <v>45696</v>
      </c>
      <c r="C461">
        <v>6</v>
      </c>
      <c r="D461" t="s">
        <v>54</v>
      </c>
    </row>
    <row r="462" spans="1:4" x14ac:dyDescent="0.25">
      <c r="A462" t="s">
        <v>134</v>
      </c>
      <c r="B462" s="2">
        <v>45701</v>
      </c>
      <c r="C462">
        <v>6</v>
      </c>
      <c r="D462" t="s">
        <v>54</v>
      </c>
    </row>
    <row r="463" spans="1:4" x14ac:dyDescent="0.25">
      <c r="A463" t="s">
        <v>379</v>
      </c>
      <c r="B463" s="2">
        <v>45702</v>
      </c>
      <c r="C463">
        <v>6</v>
      </c>
      <c r="D463" t="s">
        <v>54</v>
      </c>
    </row>
    <row r="464" spans="1:4" x14ac:dyDescent="0.25">
      <c r="A464" t="s">
        <v>384</v>
      </c>
      <c r="B464" s="2">
        <v>45703</v>
      </c>
      <c r="C464">
        <v>6</v>
      </c>
      <c r="D464" t="s">
        <v>54</v>
      </c>
    </row>
    <row r="465" spans="1:4" x14ac:dyDescent="0.25">
      <c r="A465" t="s">
        <v>104</v>
      </c>
      <c r="B465" s="2">
        <v>45704</v>
      </c>
      <c r="C465">
        <v>6</v>
      </c>
      <c r="D465" t="s">
        <v>54</v>
      </c>
    </row>
    <row r="466" spans="1:4" x14ac:dyDescent="0.25">
      <c r="A466" t="s">
        <v>91</v>
      </c>
      <c r="B466" s="2">
        <v>45706</v>
      </c>
      <c r="C466">
        <v>6</v>
      </c>
      <c r="D466" t="s">
        <v>54</v>
      </c>
    </row>
    <row r="467" spans="1:4" x14ac:dyDescent="0.25">
      <c r="A467" t="s">
        <v>102</v>
      </c>
      <c r="B467" s="2">
        <v>45709</v>
      </c>
      <c r="C467">
        <v>6</v>
      </c>
      <c r="D467" t="s">
        <v>54</v>
      </c>
    </row>
    <row r="468" spans="1:4" x14ac:dyDescent="0.25">
      <c r="A468" t="s">
        <v>114</v>
      </c>
      <c r="B468" s="2">
        <v>45710</v>
      </c>
      <c r="C468">
        <v>6</v>
      </c>
      <c r="D468" t="s">
        <v>54</v>
      </c>
    </row>
    <row r="469" spans="1:4" x14ac:dyDescent="0.25">
      <c r="A469" t="s">
        <v>67</v>
      </c>
      <c r="B469" s="2">
        <v>45714</v>
      </c>
      <c r="C469">
        <v>6</v>
      </c>
      <c r="D469" t="s">
        <v>54</v>
      </c>
    </row>
    <row r="470" spans="1:4" x14ac:dyDescent="0.25">
      <c r="A470" t="s">
        <v>129</v>
      </c>
      <c r="B470" s="2">
        <v>45689</v>
      </c>
      <c r="C470">
        <v>6</v>
      </c>
      <c r="D470" t="s">
        <v>53</v>
      </c>
    </row>
    <row r="471" spans="1:4" x14ac:dyDescent="0.25">
      <c r="A471" t="s">
        <v>134</v>
      </c>
      <c r="B471" s="2">
        <v>45702</v>
      </c>
      <c r="C471">
        <v>6</v>
      </c>
      <c r="D471" t="s">
        <v>55</v>
      </c>
    </row>
    <row r="472" spans="1:4" x14ac:dyDescent="0.25">
      <c r="A472" t="s">
        <v>121</v>
      </c>
      <c r="B472" s="2">
        <v>45713</v>
      </c>
      <c r="C472">
        <v>7.2</v>
      </c>
      <c r="D472" t="s">
        <v>55</v>
      </c>
    </row>
    <row r="473" spans="1:4" x14ac:dyDescent="0.25">
      <c r="A473" t="s">
        <v>385</v>
      </c>
      <c r="B473" s="2">
        <v>45714</v>
      </c>
      <c r="C473">
        <v>7.2</v>
      </c>
      <c r="D473" t="s">
        <v>55</v>
      </c>
    </row>
    <row r="474" spans="1:4" x14ac:dyDescent="0.25">
      <c r="A474" t="s">
        <v>141</v>
      </c>
      <c r="B474" s="2">
        <v>45715</v>
      </c>
      <c r="C474">
        <v>7.2</v>
      </c>
      <c r="D474" t="s">
        <v>55</v>
      </c>
    </row>
    <row r="475" spans="1:4" x14ac:dyDescent="0.25">
      <c r="A475" t="s">
        <v>98</v>
      </c>
      <c r="B475" s="2">
        <v>45716</v>
      </c>
      <c r="C475">
        <v>7.2</v>
      </c>
      <c r="D475" t="s">
        <v>55</v>
      </c>
    </row>
    <row r="476" spans="1:4" x14ac:dyDescent="0.25">
      <c r="A476" t="s">
        <v>104</v>
      </c>
      <c r="B476" s="2">
        <v>45698</v>
      </c>
      <c r="C476">
        <v>7</v>
      </c>
      <c r="D476" t="s">
        <v>55</v>
      </c>
    </row>
    <row r="477" spans="1:4" x14ac:dyDescent="0.25">
      <c r="A477" t="s">
        <v>64</v>
      </c>
      <c r="B477" s="2">
        <v>45699</v>
      </c>
      <c r="C477">
        <v>7</v>
      </c>
      <c r="D477" t="s">
        <v>55</v>
      </c>
    </row>
    <row r="478" spans="1:4" x14ac:dyDescent="0.25">
      <c r="A478" t="s">
        <v>111</v>
      </c>
      <c r="B478" s="2">
        <v>45700</v>
      </c>
      <c r="C478">
        <v>7</v>
      </c>
      <c r="D478" t="s">
        <v>55</v>
      </c>
    </row>
    <row r="479" spans="1:4" x14ac:dyDescent="0.25">
      <c r="A479" t="s">
        <v>142</v>
      </c>
      <c r="B479" s="2">
        <v>45707</v>
      </c>
      <c r="C479">
        <v>6</v>
      </c>
      <c r="D479" t="s">
        <v>55</v>
      </c>
    </row>
    <row r="480" spans="1:4" x14ac:dyDescent="0.25">
      <c r="A480" t="s">
        <v>67</v>
      </c>
      <c r="B480" s="2">
        <v>45712</v>
      </c>
      <c r="C480">
        <v>6</v>
      </c>
      <c r="D480" t="s">
        <v>55</v>
      </c>
    </row>
    <row r="481" spans="1:4" x14ac:dyDescent="0.25">
      <c r="A481" t="s">
        <v>377</v>
      </c>
      <c r="B481" s="2">
        <v>45713</v>
      </c>
      <c r="C481">
        <v>6</v>
      </c>
      <c r="D481" t="s">
        <v>55</v>
      </c>
    </row>
    <row r="482" spans="1:4" x14ac:dyDescent="0.25">
      <c r="A482" t="s">
        <v>87</v>
      </c>
      <c r="B482" s="2">
        <v>45714</v>
      </c>
      <c r="C482">
        <v>6</v>
      </c>
      <c r="D482" t="s">
        <v>55</v>
      </c>
    </row>
    <row r="483" spans="1:4" x14ac:dyDescent="0.25">
      <c r="A483" t="s">
        <v>69</v>
      </c>
      <c r="B483" s="2">
        <v>45715</v>
      </c>
      <c r="C483">
        <v>6</v>
      </c>
      <c r="D483" t="s">
        <v>55</v>
      </c>
    </row>
    <row r="484" spans="1:4" x14ac:dyDescent="0.25">
      <c r="A484" t="s">
        <v>386</v>
      </c>
      <c r="B484" s="2">
        <v>45700</v>
      </c>
      <c r="C484">
        <v>6</v>
      </c>
      <c r="D484" t="s">
        <v>54</v>
      </c>
    </row>
    <row r="485" spans="1:4" x14ac:dyDescent="0.25">
      <c r="A485" t="s">
        <v>127</v>
      </c>
      <c r="B485" s="2">
        <v>45701</v>
      </c>
      <c r="C485">
        <v>6</v>
      </c>
      <c r="D485" t="s">
        <v>54</v>
      </c>
    </row>
    <row r="486" spans="1:4" x14ac:dyDescent="0.25">
      <c r="A486" t="s">
        <v>379</v>
      </c>
      <c r="B486" s="2">
        <v>45702</v>
      </c>
      <c r="C486">
        <v>6</v>
      </c>
      <c r="D486" t="s">
        <v>54</v>
      </c>
    </row>
    <row r="487" spans="1:4" x14ac:dyDescent="0.25">
      <c r="A487" t="s">
        <v>67</v>
      </c>
      <c r="B487" s="2">
        <v>45705</v>
      </c>
      <c r="C487">
        <v>6</v>
      </c>
      <c r="D487" t="s">
        <v>54</v>
      </c>
    </row>
    <row r="488" spans="1:4" x14ac:dyDescent="0.25">
      <c r="A488" t="s">
        <v>145</v>
      </c>
      <c r="B488" s="2">
        <v>45706</v>
      </c>
      <c r="C488">
        <v>6</v>
      </c>
      <c r="D488" t="s">
        <v>54</v>
      </c>
    </row>
    <row r="489" spans="1:4" x14ac:dyDescent="0.25">
      <c r="A489" t="s">
        <v>75</v>
      </c>
      <c r="B489" s="2">
        <v>45707</v>
      </c>
      <c r="C489">
        <v>6</v>
      </c>
      <c r="D489" t="s">
        <v>54</v>
      </c>
    </row>
    <row r="490" spans="1:4" x14ac:dyDescent="0.25">
      <c r="A490" t="s">
        <v>95</v>
      </c>
      <c r="B490" s="2">
        <v>45709</v>
      </c>
      <c r="C490">
        <v>6</v>
      </c>
      <c r="D490" t="s">
        <v>54</v>
      </c>
    </row>
    <row r="491" spans="1:4" x14ac:dyDescent="0.25">
      <c r="A491" t="s">
        <v>125</v>
      </c>
      <c r="B491" s="2">
        <v>45713</v>
      </c>
      <c r="C491">
        <v>6</v>
      </c>
      <c r="D491" t="s">
        <v>54</v>
      </c>
    </row>
    <row r="492" spans="1:4" x14ac:dyDescent="0.25">
      <c r="A492" t="s">
        <v>118</v>
      </c>
      <c r="B492" s="2">
        <v>45714</v>
      </c>
      <c r="C492">
        <v>6</v>
      </c>
      <c r="D492" t="s">
        <v>54</v>
      </c>
    </row>
    <row r="493" spans="1:4" x14ac:dyDescent="0.25">
      <c r="A493" t="s">
        <v>95</v>
      </c>
      <c r="B493" s="2">
        <v>45715</v>
      </c>
      <c r="C493">
        <v>6</v>
      </c>
      <c r="D493" t="s">
        <v>54</v>
      </c>
    </row>
    <row r="494" spans="1:4" x14ac:dyDescent="0.25">
      <c r="A494" t="s">
        <v>104</v>
      </c>
      <c r="B494" s="2">
        <v>45716</v>
      </c>
      <c r="C494">
        <v>6</v>
      </c>
      <c r="D494" t="s">
        <v>54</v>
      </c>
    </row>
    <row r="495" spans="1:4" x14ac:dyDescent="0.25">
      <c r="A495" t="s">
        <v>386</v>
      </c>
      <c r="B495" s="2">
        <v>45702</v>
      </c>
      <c r="C495">
        <v>7.2</v>
      </c>
      <c r="D495" t="s">
        <v>55</v>
      </c>
    </row>
    <row r="496" spans="1:4" x14ac:dyDescent="0.25">
      <c r="A496" t="s">
        <v>115</v>
      </c>
      <c r="B496" s="2">
        <v>45706</v>
      </c>
      <c r="C496">
        <v>7.2</v>
      </c>
      <c r="D496" t="s">
        <v>55</v>
      </c>
    </row>
    <row r="497" spans="1:4" x14ac:dyDescent="0.25">
      <c r="A497" t="s">
        <v>73</v>
      </c>
      <c r="B497" s="2">
        <v>45713</v>
      </c>
      <c r="C497">
        <v>4</v>
      </c>
      <c r="D497" t="s">
        <v>55</v>
      </c>
    </row>
    <row r="498" spans="1:4" x14ac:dyDescent="0.25">
      <c r="A498" t="s">
        <v>102</v>
      </c>
      <c r="B498" s="2">
        <v>45714</v>
      </c>
      <c r="C498">
        <v>4</v>
      </c>
      <c r="D498" t="s">
        <v>55</v>
      </c>
    </row>
    <row r="499" spans="1:4" x14ac:dyDescent="0.25">
      <c r="A499" t="s">
        <v>85</v>
      </c>
      <c r="B499" s="2">
        <v>45715</v>
      </c>
      <c r="C499">
        <v>4</v>
      </c>
      <c r="D499" t="s">
        <v>55</v>
      </c>
    </row>
    <row r="500" spans="1:4" x14ac:dyDescent="0.25">
      <c r="A500" t="s">
        <v>82</v>
      </c>
      <c r="B500" s="2">
        <v>45716</v>
      </c>
      <c r="C500">
        <v>4</v>
      </c>
      <c r="D500" t="s">
        <v>55</v>
      </c>
    </row>
    <row r="501" spans="1:4" x14ac:dyDescent="0.25">
      <c r="A501" t="s">
        <v>131</v>
      </c>
      <c r="B501" s="2">
        <v>45694</v>
      </c>
      <c r="C501">
        <v>6</v>
      </c>
      <c r="D501" t="s">
        <v>55</v>
      </c>
    </row>
    <row r="502" spans="1:4" x14ac:dyDescent="0.25">
      <c r="A502" t="s">
        <v>64</v>
      </c>
      <c r="B502" s="2">
        <v>45691</v>
      </c>
      <c r="C502">
        <v>7.2</v>
      </c>
      <c r="D502" t="s">
        <v>55</v>
      </c>
    </row>
    <row r="503" spans="1:4" x14ac:dyDescent="0.25">
      <c r="A503" t="s">
        <v>99</v>
      </c>
      <c r="B503" s="2">
        <v>45691</v>
      </c>
      <c r="C503">
        <v>6</v>
      </c>
      <c r="D503" t="s">
        <v>55</v>
      </c>
    </row>
    <row r="504" spans="1:4" x14ac:dyDescent="0.25">
      <c r="A504" t="s">
        <v>109</v>
      </c>
      <c r="B504" s="2">
        <v>45692</v>
      </c>
      <c r="C504">
        <v>6</v>
      </c>
      <c r="D504" t="s">
        <v>55</v>
      </c>
    </row>
    <row r="505" spans="1:4" x14ac:dyDescent="0.25">
      <c r="A505" t="s">
        <v>68</v>
      </c>
      <c r="B505" s="2">
        <v>45699</v>
      </c>
      <c r="C505">
        <v>7.2</v>
      </c>
      <c r="D505" t="s">
        <v>55</v>
      </c>
    </row>
    <row r="506" spans="1:4" x14ac:dyDescent="0.25">
      <c r="A506" t="s">
        <v>82</v>
      </c>
      <c r="B506" s="2">
        <v>45700</v>
      </c>
      <c r="C506">
        <v>7.2</v>
      </c>
      <c r="D506" t="s">
        <v>55</v>
      </c>
    </row>
    <row r="507" spans="1:4" x14ac:dyDescent="0.25">
      <c r="A507" t="s">
        <v>76</v>
      </c>
      <c r="B507" s="2">
        <v>45701</v>
      </c>
      <c r="C507">
        <v>7.2</v>
      </c>
      <c r="D507" t="s">
        <v>55</v>
      </c>
    </row>
    <row r="508" spans="1:4" x14ac:dyDescent="0.25">
      <c r="A508" t="s">
        <v>100</v>
      </c>
      <c r="B508" s="2">
        <v>45712</v>
      </c>
      <c r="C508">
        <v>7.2</v>
      </c>
      <c r="D508" t="s">
        <v>55</v>
      </c>
    </row>
    <row r="509" spans="1:4" x14ac:dyDescent="0.25">
      <c r="A509" t="s">
        <v>78</v>
      </c>
      <c r="B509" s="2">
        <v>45713</v>
      </c>
      <c r="C509">
        <v>7.2</v>
      </c>
      <c r="D509" t="s">
        <v>55</v>
      </c>
    </row>
    <row r="510" spans="1:4" x14ac:dyDescent="0.25">
      <c r="A510" t="s">
        <v>106</v>
      </c>
      <c r="B510" s="2">
        <v>45714</v>
      </c>
      <c r="C510">
        <v>7.2</v>
      </c>
      <c r="D510" t="s">
        <v>55</v>
      </c>
    </row>
    <row r="511" spans="1:4" x14ac:dyDescent="0.25">
      <c r="A511" t="s">
        <v>98</v>
      </c>
      <c r="B511" s="2">
        <v>45715</v>
      </c>
      <c r="C511">
        <v>7.2</v>
      </c>
      <c r="D511" t="s">
        <v>55</v>
      </c>
    </row>
    <row r="512" spans="1:4" x14ac:dyDescent="0.25">
      <c r="A512" t="s">
        <v>81</v>
      </c>
      <c r="B512" s="2">
        <v>45716</v>
      </c>
      <c r="C512">
        <v>7.2</v>
      </c>
      <c r="D512" t="s">
        <v>55</v>
      </c>
    </row>
    <row r="513" spans="1:4" x14ac:dyDescent="0.25">
      <c r="A513" t="s">
        <v>133</v>
      </c>
      <c r="B513" s="2">
        <v>45689</v>
      </c>
      <c r="C513">
        <v>7.2</v>
      </c>
      <c r="D513" t="s">
        <v>54</v>
      </c>
    </row>
    <row r="514" spans="1:4" x14ac:dyDescent="0.25">
      <c r="A514" t="s">
        <v>134</v>
      </c>
      <c r="B514" s="2">
        <v>45691</v>
      </c>
      <c r="C514">
        <v>7.2</v>
      </c>
      <c r="D514" t="s">
        <v>54</v>
      </c>
    </row>
    <row r="515" spans="1:4" x14ac:dyDescent="0.25">
      <c r="A515" t="s">
        <v>147</v>
      </c>
      <c r="B515" s="2">
        <v>45695</v>
      </c>
      <c r="C515">
        <v>7.2</v>
      </c>
      <c r="D515" t="s">
        <v>54</v>
      </c>
    </row>
    <row r="516" spans="1:4" x14ac:dyDescent="0.25">
      <c r="A516" t="s">
        <v>142</v>
      </c>
      <c r="B516" s="2">
        <v>45697</v>
      </c>
      <c r="C516">
        <v>7.2</v>
      </c>
      <c r="D516" t="s">
        <v>54</v>
      </c>
    </row>
    <row r="517" spans="1:4" x14ac:dyDescent="0.25">
      <c r="A517" t="s">
        <v>134</v>
      </c>
      <c r="B517" s="2">
        <v>45699</v>
      </c>
      <c r="C517">
        <v>7.2</v>
      </c>
      <c r="D517" t="s">
        <v>54</v>
      </c>
    </row>
    <row r="518" spans="1:4" x14ac:dyDescent="0.25">
      <c r="A518" t="s">
        <v>147</v>
      </c>
      <c r="B518" s="2">
        <v>45700</v>
      </c>
      <c r="C518">
        <v>7.2</v>
      </c>
      <c r="D518" t="s">
        <v>54</v>
      </c>
    </row>
    <row r="519" spans="1:4" x14ac:dyDescent="0.25">
      <c r="A519" t="s">
        <v>64</v>
      </c>
      <c r="B519" s="2">
        <v>45702</v>
      </c>
      <c r="C519">
        <v>7.2</v>
      </c>
      <c r="D519" t="s">
        <v>54</v>
      </c>
    </row>
    <row r="520" spans="1:4" x14ac:dyDescent="0.25">
      <c r="A520" t="s">
        <v>107</v>
      </c>
      <c r="B520" s="2">
        <v>45706</v>
      </c>
      <c r="C520">
        <v>7.2</v>
      </c>
      <c r="D520" t="s">
        <v>54</v>
      </c>
    </row>
    <row r="521" spans="1:4" x14ac:dyDescent="0.25">
      <c r="A521" t="s">
        <v>70</v>
      </c>
      <c r="B521" s="2">
        <v>45708</v>
      </c>
      <c r="C521">
        <v>7.2</v>
      </c>
      <c r="D521" t="s">
        <v>54</v>
      </c>
    </row>
    <row r="522" spans="1:4" x14ac:dyDescent="0.25">
      <c r="A522" t="s">
        <v>77</v>
      </c>
      <c r="B522" s="2">
        <v>45709</v>
      </c>
      <c r="C522">
        <v>7.2</v>
      </c>
      <c r="D522" t="s">
        <v>54</v>
      </c>
    </row>
    <row r="523" spans="1:4" x14ac:dyDescent="0.25">
      <c r="A523" t="s">
        <v>386</v>
      </c>
      <c r="B523" s="2">
        <v>45710</v>
      </c>
      <c r="C523">
        <v>7.2</v>
      </c>
      <c r="D523" t="s">
        <v>54</v>
      </c>
    </row>
    <row r="524" spans="1:4" x14ac:dyDescent="0.25">
      <c r="A524" t="s">
        <v>386</v>
      </c>
      <c r="B524" s="2">
        <v>45711</v>
      </c>
      <c r="C524">
        <v>7.2</v>
      </c>
      <c r="D524" t="s">
        <v>54</v>
      </c>
    </row>
    <row r="525" spans="1:4" x14ac:dyDescent="0.25">
      <c r="A525" t="s">
        <v>149</v>
      </c>
      <c r="B525" s="2">
        <v>45713</v>
      </c>
      <c r="C525">
        <v>7.2</v>
      </c>
      <c r="D525" t="s">
        <v>54</v>
      </c>
    </row>
    <row r="526" spans="1:4" x14ac:dyDescent="0.25">
      <c r="A526" t="s">
        <v>105</v>
      </c>
      <c r="B526" s="2">
        <v>45716</v>
      </c>
      <c r="C526">
        <v>7.2</v>
      </c>
      <c r="D526" t="s">
        <v>54</v>
      </c>
    </row>
    <row r="527" spans="1:4" x14ac:dyDescent="0.25">
      <c r="A527" t="s">
        <v>122</v>
      </c>
      <c r="B527" s="2">
        <v>45705</v>
      </c>
      <c r="C527">
        <v>7.2</v>
      </c>
      <c r="D527" t="s">
        <v>55</v>
      </c>
    </row>
    <row r="528" spans="1:4" x14ac:dyDescent="0.25">
      <c r="A528" t="s">
        <v>123</v>
      </c>
      <c r="B528" s="2">
        <v>45706</v>
      </c>
      <c r="C528">
        <v>7.2</v>
      </c>
      <c r="D528" t="s">
        <v>55</v>
      </c>
    </row>
    <row r="529" spans="1:4" x14ac:dyDescent="0.25">
      <c r="A529" t="s">
        <v>128</v>
      </c>
      <c r="B529" s="2">
        <v>45716</v>
      </c>
      <c r="C529">
        <v>7.2</v>
      </c>
      <c r="D529" t="s">
        <v>55</v>
      </c>
    </row>
    <row r="530" spans="1:4" x14ac:dyDescent="0.25">
      <c r="A530" t="s">
        <v>141</v>
      </c>
      <c r="B530" s="2">
        <v>45700</v>
      </c>
      <c r="C530">
        <v>6</v>
      </c>
      <c r="D530" t="s">
        <v>55</v>
      </c>
    </row>
    <row r="531" spans="1:4" x14ac:dyDescent="0.25">
      <c r="A531" t="s">
        <v>128</v>
      </c>
      <c r="B531" s="2">
        <v>45701</v>
      </c>
      <c r="C531">
        <v>6</v>
      </c>
      <c r="D531" t="s">
        <v>55</v>
      </c>
    </row>
    <row r="532" spans="1:4" x14ac:dyDescent="0.25">
      <c r="A532" t="s">
        <v>136</v>
      </c>
      <c r="B532" s="2">
        <v>45702</v>
      </c>
      <c r="C532">
        <v>6</v>
      </c>
      <c r="D532" t="s">
        <v>55</v>
      </c>
    </row>
    <row r="533" spans="1:4" x14ac:dyDescent="0.25">
      <c r="A533" t="s">
        <v>125</v>
      </c>
      <c r="B533" s="2">
        <v>45697</v>
      </c>
      <c r="C533">
        <v>6</v>
      </c>
      <c r="D533" t="s">
        <v>55</v>
      </c>
    </row>
    <row r="534" spans="1:4" x14ac:dyDescent="0.25">
      <c r="A534" t="s">
        <v>105</v>
      </c>
      <c r="B534" s="2">
        <v>45698</v>
      </c>
      <c r="C534">
        <v>6</v>
      </c>
      <c r="D534" t="s">
        <v>55</v>
      </c>
    </row>
    <row r="535" spans="1:4" x14ac:dyDescent="0.25">
      <c r="A535" t="s">
        <v>121</v>
      </c>
      <c r="B535" s="2">
        <v>45691</v>
      </c>
      <c r="C535">
        <v>6</v>
      </c>
      <c r="D535" t="s">
        <v>55</v>
      </c>
    </row>
    <row r="536" spans="1:4" x14ac:dyDescent="0.25">
      <c r="A536" t="s">
        <v>66</v>
      </c>
      <c r="B536" s="2">
        <v>45692</v>
      </c>
      <c r="C536">
        <v>6</v>
      </c>
      <c r="D536" t="s">
        <v>55</v>
      </c>
    </row>
    <row r="537" spans="1:4" x14ac:dyDescent="0.25">
      <c r="A537" t="s">
        <v>90</v>
      </c>
      <c r="B537" s="2">
        <v>45698</v>
      </c>
      <c r="C537">
        <v>6</v>
      </c>
      <c r="D537" t="s">
        <v>55</v>
      </c>
    </row>
    <row r="538" spans="1:4" x14ac:dyDescent="0.25">
      <c r="A538" t="s">
        <v>99</v>
      </c>
      <c r="B538" s="2">
        <v>45699</v>
      </c>
      <c r="C538">
        <v>6</v>
      </c>
      <c r="D538" t="s">
        <v>55</v>
      </c>
    </row>
    <row r="539" spans="1:4" x14ac:dyDescent="0.25">
      <c r="A539" t="s">
        <v>118</v>
      </c>
      <c r="B539" s="2">
        <v>45700</v>
      </c>
      <c r="C539">
        <v>6</v>
      </c>
      <c r="D539" t="s">
        <v>55</v>
      </c>
    </row>
    <row r="540" spans="1:4" x14ac:dyDescent="0.25">
      <c r="A540" t="s">
        <v>70</v>
      </c>
      <c r="B540" s="2">
        <v>45701</v>
      </c>
      <c r="C540">
        <v>6</v>
      </c>
      <c r="D540" t="s">
        <v>55</v>
      </c>
    </row>
    <row r="541" spans="1:4" x14ac:dyDescent="0.25">
      <c r="A541" t="s">
        <v>127</v>
      </c>
      <c r="B541" s="2">
        <v>45692</v>
      </c>
      <c r="C541">
        <v>7.2</v>
      </c>
      <c r="D541" t="s">
        <v>55</v>
      </c>
    </row>
    <row r="542" spans="1:4" x14ac:dyDescent="0.25">
      <c r="A542" t="s">
        <v>385</v>
      </c>
      <c r="B542" s="2">
        <v>45714</v>
      </c>
      <c r="C542">
        <v>7.2</v>
      </c>
      <c r="D542" t="s">
        <v>55</v>
      </c>
    </row>
    <row r="543" spans="1:4" x14ac:dyDescent="0.25">
      <c r="A543" t="s">
        <v>117</v>
      </c>
      <c r="B543" s="2">
        <v>45706</v>
      </c>
      <c r="C543">
        <v>7.2</v>
      </c>
      <c r="D543" t="s">
        <v>55</v>
      </c>
    </row>
    <row r="544" spans="1:4" x14ac:dyDescent="0.25">
      <c r="A544" t="s">
        <v>82</v>
      </c>
      <c r="B544" s="2">
        <v>45694</v>
      </c>
      <c r="C544">
        <v>6</v>
      </c>
      <c r="D544" t="s">
        <v>55</v>
      </c>
    </row>
    <row r="545" spans="1:4" x14ac:dyDescent="0.25">
      <c r="A545" t="s">
        <v>134</v>
      </c>
      <c r="B545" s="2">
        <v>45709</v>
      </c>
      <c r="C545">
        <v>7.2</v>
      </c>
      <c r="D545" t="s">
        <v>55</v>
      </c>
    </row>
    <row r="546" spans="1:4" x14ac:dyDescent="0.25">
      <c r="A546" t="s">
        <v>381</v>
      </c>
      <c r="B546" s="2">
        <v>45692</v>
      </c>
      <c r="C546">
        <v>7.2</v>
      </c>
      <c r="D546" t="s">
        <v>55</v>
      </c>
    </row>
    <row r="547" spans="1:4" x14ac:dyDescent="0.25">
      <c r="A547" t="s">
        <v>95</v>
      </c>
      <c r="B547" s="2">
        <v>45705</v>
      </c>
      <c r="C547">
        <v>7.2</v>
      </c>
      <c r="D547" t="s">
        <v>55</v>
      </c>
    </row>
    <row r="548" spans="1:4" x14ac:dyDescent="0.25">
      <c r="A548" t="s">
        <v>374</v>
      </c>
      <c r="B548" s="2">
        <v>45706</v>
      </c>
      <c r="C548">
        <v>7.2</v>
      </c>
      <c r="D548" t="s">
        <v>55</v>
      </c>
    </row>
    <row r="549" spans="1:4" x14ac:dyDescent="0.25">
      <c r="A549" t="s">
        <v>380</v>
      </c>
      <c r="B549" s="2">
        <v>45712</v>
      </c>
      <c r="C549">
        <v>6</v>
      </c>
      <c r="D549" t="s">
        <v>55</v>
      </c>
    </row>
    <row r="550" spans="1:4" x14ac:dyDescent="0.25">
      <c r="A550" t="s">
        <v>75</v>
      </c>
      <c r="B550" s="2">
        <v>45713</v>
      </c>
      <c r="C550">
        <v>6</v>
      </c>
      <c r="D550" t="s">
        <v>55</v>
      </c>
    </row>
    <row r="551" spans="1:4" x14ac:dyDescent="0.25">
      <c r="A551" t="s">
        <v>71</v>
      </c>
      <c r="B551" s="2">
        <v>45716</v>
      </c>
      <c r="C551">
        <v>6</v>
      </c>
      <c r="D551" t="s">
        <v>55</v>
      </c>
    </row>
    <row r="552" spans="1:4" x14ac:dyDescent="0.25">
      <c r="A552" t="s">
        <v>149</v>
      </c>
      <c r="B552" s="2">
        <v>45709</v>
      </c>
      <c r="C552">
        <v>7.2</v>
      </c>
      <c r="D552" t="s">
        <v>55</v>
      </c>
    </row>
    <row r="553" spans="1:4" x14ac:dyDescent="0.25">
      <c r="A553" t="s">
        <v>73</v>
      </c>
      <c r="B553" s="2">
        <v>45705</v>
      </c>
      <c r="C553">
        <v>6</v>
      </c>
      <c r="D553" t="s">
        <v>55</v>
      </c>
    </row>
    <row r="554" spans="1:4" x14ac:dyDescent="0.25">
      <c r="A554" t="s">
        <v>101</v>
      </c>
      <c r="B554" s="2">
        <v>45702</v>
      </c>
      <c r="C554">
        <v>7.2</v>
      </c>
      <c r="D554" t="s">
        <v>55</v>
      </c>
    </row>
    <row r="555" spans="1:4" x14ac:dyDescent="0.25">
      <c r="A555" t="s">
        <v>134</v>
      </c>
      <c r="B555" s="2">
        <v>45715</v>
      </c>
      <c r="C555">
        <v>7.2</v>
      </c>
      <c r="D555" t="s">
        <v>55</v>
      </c>
    </row>
    <row r="556" spans="1:4" x14ac:dyDescent="0.25">
      <c r="A556" t="s">
        <v>376</v>
      </c>
      <c r="B556" s="2">
        <v>45706</v>
      </c>
      <c r="C556">
        <v>7.2</v>
      </c>
      <c r="D556" t="s">
        <v>55</v>
      </c>
    </row>
    <row r="557" spans="1:4" x14ac:dyDescent="0.25">
      <c r="A557" t="s">
        <v>384</v>
      </c>
      <c r="B557" s="2">
        <v>45694</v>
      </c>
      <c r="C557">
        <v>7.2</v>
      </c>
      <c r="D557" t="s">
        <v>55</v>
      </c>
    </row>
    <row r="558" spans="1:4" x14ac:dyDescent="0.25">
      <c r="A558" t="s">
        <v>93</v>
      </c>
      <c r="B558" s="2">
        <v>45701</v>
      </c>
      <c r="C558">
        <v>6</v>
      </c>
      <c r="D558" t="s">
        <v>54</v>
      </c>
    </row>
    <row r="559" spans="1:4" x14ac:dyDescent="0.25">
      <c r="A559" t="s">
        <v>131</v>
      </c>
      <c r="B559" s="2">
        <v>45703</v>
      </c>
      <c r="C559">
        <v>6</v>
      </c>
      <c r="D559" t="s">
        <v>54</v>
      </c>
    </row>
    <row r="560" spans="1:4" x14ac:dyDescent="0.25">
      <c r="A560" t="s">
        <v>113</v>
      </c>
      <c r="B560" s="2">
        <v>45705</v>
      </c>
      <c r="C560">
        <v>6</v>
      </c>
      <c r="D560" t="s">
        <v>54</v>
      </c>
    </row>
    <row r="561" spans="1:4" x14ac:dyDescent="0.25">
      <c r="A561" t="s">
        <v>70</v>
      </c>
      <c r="B561" s="2">
        <v>45707</v>
      </c>
      <c r="C561">
        <v>6</v>
      </c>
      <c r="D561" t="s">
        <v>54</v>
      </c>
    </row>
    <row r="562" spans="1:4" x14ac:dyDescent="0.25">
      <c r="A562" t="s">
        <v>85</v>
      </c>
      <c r="B562" s="2">
        <v>45708</v>
      </c>
      <c r="C562">
        <v>6</v>
      </c>
      <c r="D562" t="s">
        <v>54</v>
      </c>
    </row>
    <row r="563" spans="1:4" x14ac:dyDescent="0.25">
      <c r="A563" t="s">
        <v>116</v>
      </c>
      <c r="B563" s="2">
        <v>45709</v>
      </c>
      <c r="C563">
        <v>6</v>
      </c>
      <c r="D563" t="s">
        <v>54</v>
      </c>
    </row>
    <row r="564" spans="1:4" x14ac:dyDescent="0.25">
      <c r="A564" t="s">
        <v>378</v>
      </c>
      <c r="B564" s="2">
        <v>45711</v>
      </c>
      <c r="C564">
        <v>6</v>
      </c>
      <c r="D564" t="s">
        <v>54</v>
      </c>
    </row>
    <row r="565" spans="1:4" x14ac:dyDescent="0.25">
      <c r="A565" t="s">
        <v>89</v>
      </c>
      <c r="B565" s="2">
        <v>45713</v>
      </c>
      <c r="C565">
        <v>6</v>
      </c>
      <c r="D565" t="s">
        <v>54</v>
      </c>
    </row>
    <row r="566" spans="1:4" x14ac:dyDescent="0.25">
      <c r="A566" t="s">
        <v>102</v>
      </c>
      <c r="B566" s="2">
        <v>45714</v>
      </c>
      <c r="C566">
        <v>6</v>
      </c>
      <c r="D566" t="s">
        <v>54</v>
      </c>
    </row>
    <row r="567" spans="1:4" x14ac:dyDescent="0.25">
      <c r="A567" t="s">
        <v>101</v>
      </c>
      <c r="B567" s="2">
        <v>45715</v>
      </c>
      <c r="C567">
        <v>6</v>
      </c>
      <c r="D567" t="s">
        <v>54</v>
      </c>
    </row>
    <row r="568" spans="1:4" x14ac:dyDescent="0.25">
      <c r="A568" t="s">
        <v>95</v>
      </c>
      <c r="B568" s="2">
        <v>45716</v>
      </c>
      <c r="C568">
        <v>6</v>
      </c>
      <c r="D568" t="s">
        <v>54</v>
      </c>
    </row>
    <row r="569" spans="1:4" x14ac:dyDescent="0.25">
      <c r="A569" t="s">
        <v>100</v>
      </c>
      <c r="B569" s="2">
        <v>45699</v>
      </c>
      <c r="C569">
        <v>7.2</v>
      </c>
      <c r="D569" t="s">
        <v>55</v>
      </c>
    </row>
    <row r="570" spans="1:4" x14ac:dyDescent="0.25">
      <c r="A570" t="s">
        <v>128</v>
      </c>
      <c r="B570" s="2">
        <v>45712</v>
      </c>
      <c r="C570">
        <v>7.2</v>
      </c>
      <c r="D570" t="s">
        <v>55</v>
      </c>
    </row>
    <row r="571" spans="1:4" x14ac:dyDescent="0.25">
      <c r="A571" t="s">
        <v>122</v>
      </c>
      <c r="B571" s="2">
        <v>45713</v>
      </c>
      <c r="C571">
        <v>7.2</v>
      </c>
      <c r="D571" t="s">
        <v>55</v>
      </c>
    </row>
    <row r="572" spans="1:4" x14ac:dyDescent="0.25">
      <c r="A572" t="s">
        <v>381</v>
      </c>
      <c r="B572" s="2">
        <v>45714</v>
      </c>
      <c r="C572">
        <v>7.2</v>
      </c>
      <c r="D572" t="s">
        <v>55</v>
      </c>
    </row>
    <row r="573" spans="1:4" x14ac:dyDescent="0.25">
      <c r="A573" t="s">
        <v>146</v>
      </c>
      <c r="B573" s="2">
        <v>45694</v>
      </c>
      <c r="C573">
        <v>7.2</v>
      </c>
      <c r="D573" t="s">
        <v>53</v>
      </c>
    </row>
    <row r="574" spans="1:4" x14ac:dyDescent="0.25">
      <c r="A574" t="s">
        <v>94</v>
      </c>
      <c r="B574" s="2">
        <v>45695</v>
      </c>
      <c r="C574">
        <v>7.2</v>
      </c>
      <c r="D574" t="s">
        <v>53</v>
      </c>
    </row>
    <row r="575" spans="1:4" x14ac:dyDescent="0.25">
      <c r="A575" t="s">
        <v>100</v>
      </c>
      <c r="B575" s="2">
        <v>45712</v>
      </c>
      <c r="C575">
        <v>6</v>
      </c>
      <c r="D575" t="s">
        <v>55</v>
      </c>
    </row>
    <row r="576" spans="1:4" x14ac:dyDescent="0.25">
      <c r="A576" t="s">
        <v>70</v>
      </c>
      <c r="B576" s="2">
        <v>45713</v>
      </c>
      <c r="C576">
        <v>6</v>
      </c>
      <c r="D576" t="s">
        <v>55</v>
      </c>
    </row>
    <row r="577" spans="1:4" x14ac:dyDescent="0.25">
      <c r="A577" t="s">
        <v>137</v>
      </c>
      <c r="B577" s="2">
        <v>45714</v>
      </c>
      <c r="C577">
        <v>6</v>
      </c>
      <c r="D577" t="s">
        <v>55</v>
      </c>
    </row>
    <row r="578" spans="1:4" x14ac:dyDescent="0.25">
      <c r="A578" t="s">
        <v>115</v>
      </c>
      <c r="B578" s="2">
        <v>45715</v>
      </c>
      <c r="C578">
        <v>6</v>
      </c>
      <c r="D578" t="s">
        <v>55</v>
      </c>
    </row>
    <row r="579" spans="1:4" x14ac:dyDescent="0.25">
      <c r="A579" t="s">
        <v>376</v>
      </c>
      <c r="B579" s="2">
        <v>45716</v>
      </c>
      <c r="C579">
        <v>6</v>
      </c>
      <c r="D579" t="s">
        <v>55</v>
      </c>
    </row>
    <row r="580" spans="1:4" x14ac:dyDescent="0.25">
      <c r="A580" t="s">
        <v>376</v>
      </c>
      <c r="B580" s="2">
        <v>45702</v>
      </c>
      <c r="C580">
        <v>7.2</v>
      </c>
      <c r="D580" t="s">
        <v>53</v>
      </c>
    </row>
    <row r="581" spans="1:4" x14ac:dyDescent="0.25">
      <c r="A581" t="s">
        <v>107</v>
      </c>
      <c r="B581" s="2">
        <v>45712</v>
      </c>
      <c r="C581">
        <v>7.2</v>
      </c>
      <c r="D581" t="s">
        <v>55</v>
      </c>
    </row>
    <row r="582" spans="1:4" x14ac:dyDescent="0.25">
      <c r="A582" t="s">
        <v>74</v>
      </c>
      <c r="B582" s="2">
        <v>45713</v>
      </c>
      <c r="C582">
        <v>7.2</v>
      </c>
      <c r="D582" t="s">
        <v>55</v>
      </c>
    </row>
    <row r="583" spans="1:4" x14ac:dyDescent="0.25">
      <c r="A583" t="s">
        <v>71</v>
      </c>
      <c r="B583" s="2">
        <v>45714</v>
      </c>
      <c r="C583">
        <v>7.2</v>
      </c>
      <c r="D583" t="s">
        <v>55</v>
      </c>
    </row>
    <row r="584" spans="1:4" x14ac:dyDescent="0.25">
      <c r="A584" t="s">
        <v>105</v>
      </c>
      <c r="B584" s="2">
        <v>45715</v>
      </c>
      <c r="C584">
        <v>7.2</v>
      </c>
      <c r="D584" t="s">
        <v>55</v>
      </c>
    </row>
    <row r="585" spans="1:4" x14ac:dyDescent="0.25">
      <c r="A585" t="s">
        <v>374</v>
      </c>
      <c r="B585" s="2">
        <v>45716</v>
      </c>
      <c r="C585">
        <v>7.2</v>
      </c>
      <c r="D585" t="s">
        <v>55</v>
      </c>
    </row>
    <row r="586" spans="1:4" x14ac:dyDescent="0.25">
      <c r="A586" t="s">
        <v>85</v>
      </c>
      <c r="B586" s="2">
        <v>45694</v>
      </c>
      <c r="C586">
        <v>7.2</v>
      </c>
      <c r="D586" t="s">
        <v>55</v>
      </c>
    </row>
    <row r="587" spans="1:4" x14ac:dyDescent="0.25">
      <c r="A587" t="s">
        <v>113</v>
      </c>
      <c r="B587" s="2">
        <v>45698</v>
      </c>
      <c r="C587">
        <v>7.2</v>
      </c>
      <c r="D587" t="s">
        <v>55</v>
      </c>
    </row>
    <row r="588" spans="1:4" x14ac:dyDescent="0.25">
      <c r="A588" t="s">
        <v>75</v>
      </c>
      <c r="B588" s="2">
        <v>45699</v>
      </c>
      <c r="C588">
        <v>7.2</v>
      </c>
      <c r="D588" t="s">
        <v>55</v>
      </c>
    </row>
    <row r="589" spans="1:4" x14ac:dyDescent="0.25">
      <c r="A589" t="s">
        <v>384</v>
      </c>
      <c r="B589" s="2">
        <v>45700</v>
      </c>
      <c r="C589">
        <v>7.2</v>
      </c>
      <c r="D589" t="s">
        <v>55</v>
      </c>
    </row>
    <row r="590" spans="1:4" x14ac:dyDescent="0.25">
      <c r="A590" t="s">
        <v>95</v>
      </c>
      <c r="B590" s="2">
        <v>45701</v>
      </c>
      <c r="C590">
        <v>7.2</v>
      </c>
      <c r="D590" t="s">
        <v>55</v>
      </c>
    </row>
    <row r="591" spans="1:4" x14ac:dyDescent="0.25">
      <c r="A591" t="s">
        <v>142</v>
      </c>
      <c r="B591" s="2">
        <v>45702</v>
      </c>
      <c r="C591">
        <v>7.2</v>
      </c>
      <c r="D591" t="s">
        <v>55</v>
      </c>
    </row>
    <row r="592" spans="1:4" x14ac:dyDescent="0.25">
      <c r="A592" t="s">
        <v>129</v>
      </c>
      <c r="B592" s="2">
        <v>45694</v>
      </c>
      <c r="C592">
        <v>7.2</v>
      </c>
      <c r="D592" t="s">
        <v>55</v>
      </c>
    </row>
    <row r="593" spans="1:4" x14ac:dyDescent="0.25">
      <c r="A593" t="s">
        <v>380</v>
      </c>
      <c r="B593" s="2">
        <v>45689</v>
      </c>
      <c r="C593">
        <v>7.2</v>
      </c>
      <c r="D593" t="s">
        <v>55</v>
      </c>
    </row>
    <row r="594" spans="1:4" x14ac:dyDescent="0.25">
      <c r="A594" t="s">
        <v>64</v>
      </c>
      <c r="B594" s="2">
        <v>45694</v>
      </c>
      <c r="C594">
        <v>7.2</v>
      </c>
      <c r="D594" t="s">
        <v>55</v>
      </c>
    </row>
    <row r="595" spans="1:4" x14ac:dyDescent="0.25">
      <c r="A595" t="s">
        <v>88</v>
      </c>
      <c r="B595" s="2">
        <v>45715</v>
      </c>
      <c r="C595">
        <v>7.2</v>
      </c>
      <c r="D595" t="s">
        <v>55</v>
      </c>
    </row>
    <row r="596" spans="1:4" x14ac:dyDescent="0.25">
      <c r="A596" t="s">
        <v>102</v>
      </c>
      <c r="B596" s="2">
        <v>45713</v>
      </c>
      <c r="C596">
        <v>7.2</v>
      </c>
      <c r="D596" t="s">
        <v>55</v>
      </c>
    </row>
    <row r="597" spans="1:4" x14ac:dyDescent="0.25">
      <c r="A597" t="s">
        <v>101</v>
      </c>
      <c r="B597" s="2">
        <v>45714</v>
      </c>
      <c r="C597">
        <v>7.2</v>
      </c>
      <c r="D597" t="s">
        <v>55</v>
      </c>
    </row>
    <row r="598" spans="1:4" x14ac:dyDescent="0.25">
      <c r="A598" t="s">
        <v>379</v>
      </c>
      <c r="B598" s="2">
        <v>45715</v>
      </c>
      <c r="C598">
        <v>7.2</v>
      </c>
      <c r="D598" t="s">
        <v>55</v>
      </c>
    </row>
    <row r="599" spans="1:4" x14ac:dyDescent="0.25">
      <c r="A599" t="s">
        <v>66</v>
      </c>
      <c r="B599" s="2">
        <v>45716</v>
      </c>
      <c r="C599">
        <v>7.2</v>
      </c>
      <c r="D599" t="s">
        <v>55</v>
      </c>
    </row>
    <row r="600" spans="1:4" x14ac:dyDescent="0.25">
      <c r="A600" t="s">
        <v>65</v>
      </c>
      <c r="B600" s="2">
        <v>45703</v>
      </c>
      <c r="C600">
        <v>7</v>
      </c>
      <c r="D600" t="s">
        <v>55</v>
      </c>
    </row>
    <row r="601" spans="1:4" x14ac:dyDescent="0.25">
      <c r="A601" t="s">
        <v>70</v>
      </c>
      <c r="B601" s="2">
        <v>45704</v>
      </c>
      <c r="C601">
        <v>7</v>
      </c>
      <c r="D601" t="s">
        <v>55</v>
      </c>
    </row>
    <row r="602" spans="1:4" x14ac:dyDescent="0.25">
      <c r="A602" t="s">
        <v>122</v>
      </c>
      <c r="B602" s="2">
        <v>45716</v>
      </c>
      <c r="C602">
        <v>7.2</v>
      </c>
      <c r="D602" t="s">
        <v>55</v>
      </c>
    </row>
    <row r="603" spans="1:4" x14ac:dyDescent="0.25">
      <c r="A603" t="s">
        <v>102</v>
      </c>
      <c r="B603" s="2">
        <v>45699</v>
      </c>
      <c r="C603">
        <v>7.2</v>
      </c>
      <c r="D603" t="s">
        <v>55</v>
      </c>
    </row>
    <row r="604" spans="1:4" x14ac:dyDescent="0.25">
      <c r="A604" t="s">
        <v>375</v>
      </c>
      <c r="B604" s="2">
        <v>45700</v>
      </c>
      <c r="C604">
        <v>7.2</v>
      </c>
      <c r="D604" t="s">
        <v>55</v>
      </c>
    </row>
    <row r="605" spans="1:4" x14ac:dyDescent="0.25">
      <c r="A605" t="s">
        <v>97</v>
      </c>
      <c r="B605" s="2">
        <v>45706</v>
      </c>
      <c r="C605">
        <v>7.2</v>
      </c>
      <c r="D605" t="s">
        <v>55</v>
      </c>
    </row>
    <row r="606" spans="1:4" x14ac:dyDescent="0.25">
      <c r="A606" t="s">
        <v>126</v>
      </c>
      <c r="B606" s="2">
        <v>45707</v>
      </c>
      <c r="C606">
        <v>7.2</v>
      </c>
      <c r="D606" t="s">
        <v>55</v>
      </c>
    </row>
    <row r="607" spans="1:4" x14ac:dyDescent="0.25">
      <c r="A607" t="s">
        <v>77</v>
      </c>
      <c r="B607" s="2">
        <v>45708</v>
      </c>
      <c r="C607">
        <v>7.2</v>
      </c>
      <c r="D607" t="s">
        <v>55</v>
      </c>
    </row>
    <row r="608" spans="1:4" x14ac:dyDescent="0.25">
      <c r="A608" t="s">
        <v>68</v>
      </c>
      <c r="B608" s="2">
        <v>45713</v>
      </c>
      <c r="C608">
        <v>7.2</v>
      </c>
      <c r="D608" t="s">
        <v>55</v>
      </c>
    </row>
    <row r="609" spans="1:4" x14ac:dyDescent="0.25">
      <c r="A609" t="s">
        <v>137</v>
      </c>
      <c r="B609" s="2">
        <v>45714</v>
      </c>
      <c r="C609">
        <v>7.2</v>
      </c>
      <c r="D609" t="s">
        <v>55</v>
      </c>
    </row>
    <row r="610" spans="1:4" x14ac:dyDescent="0.25">
      <c r="A610" t="s">
        <v>379</v>
      </c>
      <c r="B610" s="2">
        <v>45715</v>
      </c>
      <c r="C610">
        <v>7.2</v>
      </c>
      <c r="D610" t="s">
        <v>55</v>
      </c>
    </row>
    <row r="611" spans="1:4" x14ac:dyDescent="0.25">
      <c r="A611" t="s">
        <v>384</v>
      </c>
      <c r="B611" s="2">
        <v>45716</v>
      </c>
      <c r="C611">
        <v>7.2</v>
      </c>
      <c r="D611" t="s">
        <v>55</v>
      </c>
    </row>
    <row r="612" spans="1:4" x14ac:dyDescent="0.25">
      <c r="A612" t="s">
        <v>100</v>
      </c>
      <c r="B612" s="2">
        <v>45698</v>
      </c>
      <c r="C612">
        <v>7.2</v>
      </c>
      <c r="D612" t="s">
        <v>55</v>
      </c>
    </row>
    <row r="613" spans="1:4" x14ac:dyDescent="0.25">
      <c r="A613" t="s">
        <v>142</v>
      </c>
      <c r="B613" s="2">
        <v>45699</v>
      </c>
      <c r="C613">
        <v>7.2</v>
      </c>
      <c r="D613" t="s">
        <v>55</v>
      </c>
    </row>
    <row r="614" spans="1:4" x14ac:dyDescent="0.25">
      <c r="A614" t="s">
        <v>71</v>
      </c>
      <c r="B614" s="2">
        <v>45702</v>
      </c>
      <c r="C614">
        <v>7.2</v>
      </c>
      <c r="D614" t="s">
        <v>55</v>
      </c>
    </row>
    <row r="615" spans="1:4" x14ac:dyDescent="0.25">
      <c r="A615" t="s">
        <v>127</v>
      </c>
      <c r="B615" s="2">
        <v>45706</v>
      </c>
      <c r="C615">
        <v>7.2</v>
      </c>
      <c r="D615" t="s">
        <v>55</v>
      </c>
    </row>
    <row r="616" spans="1:4" x14ac:dyDescent="0.25">
      <c r="A616" t="s">
        <v>68</v>
      </c>
      <c r="B616" s="2">
        <v>45707</v>
      </c>
      <c r="C616">
        <v>7.2</v>
      </c>
      <c r="D616" t="s">
        <v>55</v>
      </c>
    </row>
    <row r="617" spans="1:4" x14ac:dyDescent="0.25">
      <c r="A617" t="s">
        <v>95</v>
      </c>
      <c r="B617" s="2">
        <v>45707</v>
      </c>
      <c r="C617">
        <v>7.2</v>
      </c>
      <c r="D617" t="s">
        <v>55</v>
      </c>
    </row>
    <row r="618" spans="1:4" x14ac:dyDescent="0.25">
      <c r="A618" t="s">
        <v>85</v>
      </c>
      <c r="B618" s="2">
        <v>45691</v>
      </c>
      <c r="C618">
        <v>4</v>
      </c>
      <c r="D618" t="s">
        <v>55</v>
      </c>
    </row>
    <row r="619" spans="1:4" x14ac:dyDescent="0.25">
      <c r="A619" t="s">
        <v>141</v>
      </c>
      <c r="B619" s="2">
        <v>45692</v>
      </c>
      <c r="C619">
        <v>4</v>
      </c>
      <c r="D619" t="s">
        <v>55</v>
      </c>
    </row>
    <row r="620" spans="1:4" x14ac:dyDescent="0.25">
      <c r="A620" t="s">
        <v>378</v>
      </c>
      <c r="B620" s="2">
        <v>45694</v>
      </c>
      <c r="C620">
        <v>4</v>
      </c>
      <c r="D620" t="s">
        <v>55</v>
      </c>
    </row>
    <row r="621" spans="1:4" x14ac:dyDescent="0.25">
      <c r="A621" t="s">
        <v>90</v>
      </c>
      <c r="B621" s="2">
        <v>45695</v>
      </c>
      <c r="C621">
        <v>4</v>
      </c>
      <c r="D621" t="s">
        <v>55</v>
      </c>
    </row>
    <row r="622" spans="1:4" x14ac:dyDescent="0.25">
      <c r="A622" t="s">
        <v>144</v>
      </c>
      <c r="B622" s="2">
        <v>45698</v>
      </c>
      <c r="C622">
        <v>4</v>
      </c>
      <c r="D622" t="s">
        <v>55</v>
      </c>
    </row>
    <row r="623" spans="1:4" x14ac:dyDescent="0.25">
      <c r="A623" t="s">
        <v>76</v>
      </c>
      <c r="B623" s="2">
        <v>45699</v>
      </c>
      <c r="C623">
        <v>4</v>
      </c>
      <c r="D623" t="s">
        <v>55</v>
      </c>
    </row>
    <row r="624" spans="1:4" x14ac:dyDescent="0.25">
      <c r="A624" t="s">
        <v>375</v>
      </c>
      <c r="B624" s="2">
        <v>45700</v>
      </c>
      <c r="C624">
        <v>4</v>
      </c>
      <c r="D624" t="s">
        <v>55</v>
      </c>
    </row>
    <row r="625" spans="1:4" x14ac:dyDescent="0.25">
      <c r="A625" t="s">
        <v>102</v>
      </c>
      <c r="B625" s="2">
        <v>45701</v>
      </c>
      <c r="C625">
        <v>4</v>
      </c>
      <c r="D625" t="s">
        <v>55</v>
      </c>
    </row>
    <row r="626" spans="1:4" x14ac:dyDescent="0.25">
      <c r="A626" t="s">
        <v>100</v>
      </c>
      <c r="B626" s="2">
        <v>45702</v>
      </c>
      <c r="C626">
        <v>4</v>
      </c>
      <c r="D626" t="s">
        <v>55</v>
      </c>
    </row>
    <row r="627" spans="1:4" x14ac:dyDescent="0.25">
      <c r="A627" t="s">
        <v>379</v>
      </c>
      <c r="B627" s="2">
        <v>45705</v>
      </c>
      <c r="C627">
        <v>4</v>
      </c>
      <c r="D627" t="s">
        <v>55</v>
      </c>
    </row>
    <row r="628" spans="1:4" x14ac:dyDescent="0.25">
      <c r="A628" t="s">
        <v>106</v>
      </c>
      <c r="B628" s="2">
        <v>45706</v>
      </c>
      <c r="C628">
        <v>4</v>
      </c>
      <c r="D628" t="s">
        <v>55</v>
      </c>
    </row>
    <row r="629" spans="1:4" x14ac:dyDescent="0.25">
      <c r="A629" t="s">
        <v>143</v>
      </c>
      <c r="B629" s="2">
        <v>45707</v>
      </c>
      <c r="C629">
        <v>4</v>
      </c>
      <c r="D629" t="s">
        <v>55</v>
      </c>
    </row>
    <row r="630" spans="1:4" x14ac:dyDescent="0.25">
      <c r="A630" t="s">
        <v>116</v>
      </c>
      <c r="B630" s="2">
        <v>45708</v>
      </c>
      <c r="C630">
        <v>4</v>
      </c>
      <c r="D630" t="s">
        <v>55</v>
      </c>
    </row>
    <row r="631" spans="1:4" x14ac:dyDescent="0.25">
      <c r="A631" t="s">
        <v>71</v>
      </c>
      <c r="B631" s="2">
        <v>45709</v>
      </c>
      <c r="C631">
        <v>4</v>
      </c>
      <c r="D631" t="s">
        <v>55</v>
      </c>
    </row>
    <row r="632" spans="1:4" x14ac:dyDescent="0.25">
      <c r="A632" t="s">
        <v>82</v>
      </c>
      <c r="B632" s="2">
        <v>45712</v>
      </c>
      <c r="C632">
        <v>4</v>
      </c>
      <c r="D632" t="s">
        <v>55</v>
      </c>
    </row>
    <row r="633" spans="1:4" x14ac:dyDescent="0.25">
      <c r="A633" t="s">
        <v>73</v>
      </c>
      <c r="B633" s="2">
        <v>45713</v>
      </c>
      <c r="C633">
        <v>4</v>
      </c>
      <c r="D633" t="s">
        <v>55</v>
      </c>
    </row>
    <row r="634" spans="1:4" x14ac:dyDescent="0.25">
      <c r="A634" t="s">
        <v>85</v>
      </c>
      <c r="B634" s="2">
        <v>45714</v>
      </c>
      <c r="C634">
        <v>4</v>
      </c>
      <c r="D634" t="s">
        <v>55</v>
      </c>
    </row>
    <row r="635" spans="1:4" x14ac:dyDescent="0.25">
      <c r="A635" t="s">
        <v>69</v>
      </c>
      <c r="B635" s="2">
        <v>45715</v>
      </c>
      <c r="C635">
        <v>4</v>
      </c>
      <c r="D635" t="s">
        <v>55</v>
      </c>
    </row>
    <row r="636" spans="1:4" x14ac:dyDescent="0.25">
      <c r="A636" t="s">
        <v>136</v>
      </c>
      <c r="B636" s="2">
        <v>45716</v>
      </c>
      <c r="C636">
        <v>4</v>
      </c>
      <c r="D636" t="s">
        <v>55</v>
      </c>
    </row>
    <row r="637" spans="1:4" x14ac:dyDescent="0.25">
      <c r="A637" t="s">
        <v>99</v>
      </c>
      <c r="B637" s="2">
        <v>45726</v>
      </c>
      <c r="C637">
        <v>7.2</v>
      </c>
      <c r="D637" t="s">
        <v>55</v>
      </c>
    </row>
    <row r="638" spans="1:4" x14ac:dyDescent="0.25">
      <c r="A638" t="s">
        <v>79</v>
      </c>
      <c r="B638" s="2">
        <v>45720</v>
      </c>
      <c r="C638">
        <v>7</v>
      </c>
      <c r="D638" t="s">
        <v>55</v>
      </c>
    </row>
    <row r="639" spans="1:4" x14ac:dyDescent="0.25">
      <c r="A639" t="s">
        <v>131</v>
      </c>
      <c r="B639" s="2">
        <v>45717</v>
      </c>
      <c r="C639">
        <v>6</v>
      </c>
      <c r="D639" t="s">
        <v>54</v>
      </c>
    </row>
    <row r="640" spans="1:4" x14ac:dyDescent="0.25">
      <c r="A640" t="s">
        <v>387</v>
      </c>
      <c r="B640" s="2">
        <v>45721</v>
      </c>
      <c r="C640">
        <v>6</v>
      </c>
      <c r="D640" t="s">
        <v>54</v>
      </c>
    </row>
    <row r="641" spans="1:4" x14ac:dyDescent="0.25">
      <c r="A641" t="s">
        <v>94</v>
      </c>
      <c r="B641" s="2">
        <v>45725</v>
      </c>
      <c r="C641">
        <v>6</v>
      </c>
      <c r="D641" t="s">
        <v>54</v>
      </c>
    </row>
    <row r="642" spans="1:4" x14ac:dyDescent="0.25">
      <c r="A642" t="s">
        <v>133</v>
      </c>
      <c r="B642" s="2">
        <v>45726</v>
      </c>
      <c r="C642">
        <v>6</v>
      </c>
      <c r="D642" t="s">
        <v>54</v>
      </c>
    </row>
    <row r="643" spans="1:4" x14ac:dyDescent="0.25">
      <c r="A643" t="s">
        <v>112</v>
      </c>
      <c r="B643" s="2">
        <v>45727</v>
      </c>
      <c r="C643">
        <v>6</v>
      </c>
      <c r="D643" t="s">
        <v>54</v>
      </c>
    </row>
    <row r="644" spans="1:4" x14ac:dyDescent="0.25">
      <c r="A644" t="s">
        <v>145</v>
      </c>
      <c r="B644" s="2">
        <v>45729</v>
      </c>
      <c r="C644">
        <v>6</v>
      </c>
      <c r="D644" t="s">
        <v>54</v>
      </c>
    </row>
    <row r="645" spans="1:4" x14ac:dyDescent="0.25">
      <c r="A645" t="s">
        <v>88</v>
      </c>
      <c r="B645" s="2">
        <v>45719</v>
      </c>
      <c r="C645">
        <v>7.2</v>
      </c>
      <c r="D645" t="s">
        <v>55</v>
      </c>
    </row>
    <row r="646" spans="1:4" x14ac:dyDescent="0.25">
      <c r="A646" t="s">
        <v>118</v>
      </c>
      <c r="B646" s="2">
        <v>45720</v>
      </c>
      <c r="C646">
        <v>7.2</v>
      </c>
      <c r="D646" t="s">
        <v>55</v>
      </c>
    </row>
    <row r="647" spans="1:4" x14ac:dyDescent="0.25">
      <c r="A647" t="s">
        <v>131</v>
      </c>
      <c r="B647" s="2">
        <v>45720</v>
      </c>
      <c r="C647">
        <v>7.2</v>
      </c>
      <c r="D647" t="s">
        <v>55</v>
      </c>
    </row>
    <row r="648" spans="1:4" x14ac:dyDescent="0.25">
      <c r="A648" t="s">
        <v>138</v>
      </c>
      <c r="B648" s="2">
        <v>45721</v>
      </c>
      <c r="C648">
        <v>7.2</v>
      </c>
      <c r="D648" t="s">
        <v>55</v>
      </c>
    </row>
    <row r="649" spans="1:4" x14ac:dyDescent="0.25">
      <c r="A649" t="s">
        <v>379</v>
      </c>
      <c r="B649" s="2">
        <v>45722</v>
      </c>
      <c r="C649">
        <v>7.2</v>
      </c>
      <c r="D649" t="s">
        <v>55</v>
      </c>
    </row>
    <row r="650" spans="1:4" x14ac:dyDescent="0.25">
      <c r="A650" t="s">
        <v>64</v>
      </c>
      <c r="B650" s="2">
        <v>45723</v>
      </c>
      <c r="C650">
        <v>7.2</v>
      </c>
      <c r="D650" t="s">
        <v>55</v>
      </c>
    </row>
    <row r="651" spans="1:4" x14ac:dyDescent="0.25">
      <c r="A651" t="s">
        <v>142</v>
      </c>
      <c r="B651" s="2">
        <v>45719</v>
      </c>
      <c r="C651">
        <v>7.2</v>
      </c>
      <c r="D651" t="s">
        <v>54</v>
      </c>
    </row>
    <row r="652" spans="1:4" x14ac:dyDescent="0.25">
      <c r="A652" t="s">
        <v>145</v>
      </c>
      <c r="B652" s="2">
        <v>45720</v>
      </c>
      <c r="C652">
        <v>7.2</v>
      </c>
      <c r="D652" t="s">
        <v>54</v>
      </c>
    </row>
    <row r="653" spans="1:4" x14ac:dyDescent="0.25">
      <c r="A653" t="s">
        <v>104</v>
      </c>
      <c r="B653" s="2">
        <v>45723</v>
      </c>
      <c r="C653">
        <v>7.2</v>
      </c>
      <c r="D653" t="s">
        <v>54</v>
      </c>
    </row>
    <row r="654" spans="1:4" x14ac:dyDescent="0.25">
      <c r="A654" t="s">
        <v>73</v>
      </c>
      <c r="B654" s="2">
        <v>45725</v>
      </c>
      <c r="C654">
        <v>7.2</v>
      </c>
      <c r="D654" t="s">
        <v>54</v>
      </c>
    </row>
    <row r="655" spans="1:4" x14ac:dyDescent="0.25">
      <c r="A655" t="s">
        <v>85</v>
      </c>
      <c r="B655" s="2">
        <v>45728</v>
      </c>
      <c r="C655">
        <v>7.2</v>
      </c>
      <c r="D655" t="s">
        <v>54</v>
      </c>
    </row>
    <row r="656" spans="1:4" x14ac:dyDescent="0.25">
      <c r="A656" t="s">
        <v>93</v>
      </c>
      <c r="B656" s="2">
        <v>45730</v>
      </c>
      <c r="C656">
        <v>7.2</v>
      </c>
      <c r="D656" t="s">
        <v>54</v>
      </c>
    </row>
    <row r="657" spans="1:4" x14ac:dyDescent="0.25">
      <c r="A657" t="s">
        <v>128</v>
      </c>
      <c r="B657" s="2">
        <v>45731</v>
      </c>
      <c r="C657">
        <v>7.2</v>
      </c>
      <c r="D657" t="s">
        <v>54</v>
      </c>
    </row>
    <row r="658" spans="1:4" x14ac:dyDescent="0.25">
      <c r="A658" t="s">
        <v>122</v>
      </c>
      <c r="B658" s="2">
        <v>45732</v>
      </c>
      <c r="C658">
        <v>7.2</v>
      </c>
      <c r="D658" t="s">
        <v>54</v>
      </c>
    </row>
    <row r="659" spans="1:4" x14ac:dyDescent="0.25">
      <c r="A659" t="s">
        <v>384</v>
      </c>
      <c r="B659" s="2">
        <v>45733</v>
      </c>
      <c r="C659">
        <v>7.2</v>
      </c>
      <c r="D659" t="s">
        <v>54</v>
      </c>
    </row>
    <row r="660" spans="1:4" x14ac:dyDescent="0.25">
      <c r="A660" t="s">
        <v>65</v>
      </c>
      <c r="B660" s="2">
        <v>45742</v>
      </c>
      <c r="C660">
        <v>7.2</v>
      </c>
      <c r="D660" t="s">
        <v>54</v>
      </c>
    </row>
    <row r="661" spans="1:4" x14ac:dyDescent="0.25">
      <c r="A661" t="s">
        <v>93</v>
      </c>
      <c r="B661" s="2">
        <v>45746</v>
      </c>
      <c r="C661">
        <v>7.2</v>
      </c>
      <c r="D661" t="s">
        <v>54</v>
      </c>
    </row>
    <row r="662" spans="1:4" x14ac:dyDescent="0.25">
      <c r="A662" t="s">
        <v>67</v>
      </c>
      <c r="B662" s="2">
        <v>45747</v>
      </c>
      <c r="C662">
        <v>7.2</v>
      </c>
      <c r="D662" t="s">
        <v>54</v>
      </c>
    </row>
    <row r="663" spans="1:4" x14ac:dyDescent="0.25">
      <c r="A663" t="s">
        <v>87</v>
      </c>
      <c r="B663" s="2">
        <v>45734</v>
      </c>
      <c r="C663">
        <v>7.2</v>
      </c>
      <c r="D663" t="s">
        <v>55</v>
      </c>
    </row>
    <row r="664" spans="1:4" x14ac:dyDescent="0.25">
      <c r="A664" t="s">
        <v>90</v>
      </c>
      <c r="B664" s="2">
        <v>45735</v>
      </c>
      <c r="C664">
        <v>7.2</v>
      </c>
      <c r="D664" t="s">
        <v>55</v>
      </c>
    </row>
    <row r="665" spans="1:4" x14ac:dyDescent="0.25">
      <c r="A665" t="s">
        <v>137</v>
      </c>
      <c r="B665" s="2">
        <v>45736</v>
      </c>
      <c r="C665">
        <v>7.2</v>
      </c>
      <c r="D665" t="s">
        <v>55</v>
      </c>
    </row>
    <row r="666" spans="1:4" x14ac:dyDescent="0.25">
      <c r="A666" t="s">
        <v>131</v>
      </c>
      <c r="B666" s="2">
        <v>45717</v>
      </c>
      <c r="C666">
        <v>7.2</v>
      </c>
      <c r="D666" t="s">
        <v>55</v>
      </c>
    </row>
    <row r="667" spans="1:4" x14ac:dyDescent="0.25">
      <c r="A667" t="s">
        <v>96</v>
      </c>
      <c r="B667" s="2">
        <v>45718</v>
      </c>
      <c r="C667">
        <v>7.2</v>
      </c>
      <c r="D667" t="s">
        <v>55</v>
      </c>
    </row>
    <row r="668" spans="1:4" x14ac:dyDescent="0.25">
      <c r="A668" t="s">
        <v>146</v>
      </c>
      <c r="B668" s="2">
        <v>45719</v>
      </c>
      <c r="C668">
        <v>7.2</v>
      </c>
      <c r="D668" t="s">
        <v>55</v>
      </c>
    </row>
    <row r="669" spans="1:4" x14ac:dyDescent="0.25">
      <c r="A669" t="s">
        <v>97</v>
      </c>
      <c r="B669" s="2">
        <v>45720</v>
      </c>
      <c r="C669">
        <v>7.2</v>
      </c>
      <c r="D669" t="s">
        <v>55</v>
      </c>
    </row>
    <row r="670" spans="1:4" x14ac:dyDescent="0.25">
      <c r="A670" t="s">
        <v>94</v>
      </c>
      <c r="B670" s="2">
        <v>45747</v>
      </c>
      <c r="C670">
        <v>7.2</v>
      </c>
      <c r="D670" t="s">
        <v>53</v>
      </c>
    </row>
    <row r="671" spans="1:4" x14ac:dyDescent="0.25">
      <c r="A671" t="s">
        <v>131</v>
      </c>
      <c r="B671" s="2">
        <v>45723</v>
      </c>
      <c r="C671">
        <v>6</v>
      </c>
      <c r="D671" t="s">
        <v>55</v>
      </c>
    </row>
    <row r="672" spans="1:4" x14ac:dyDescent="0.25">
      <c r="A672" t="s">
        <v>115</v>
      </c>
      <c r="B672" s="2">
        <v>45723</v>
      </c>
      <c r="C672">
        <v>7</v>
      </c>
      <c r="D672" t="s">
        <v>55</v>
      </c>
    </row>
    <row r="673" spans="1:4" x14ac:dyDescent="0.25">
      <c r="A673" t="s">
        <v>87</v>
      </c>
      <c r="B673" s="2">
        <v>45726</v>
      </c>
      <c r="C673">
        <v>7</v>
      </c>
      <c r="D673" t="s">
        <v>55</v>
      </c>
    </row>
    <row r="674" spans="1:4" x14ac:dyDescent="0.25">
      <c r="A674" t="s">
        <v>80</v>
      </c>
      <c r="B674" s="2">
        <v>45727</v>
      </c>
      <c r="C674">
        <v>7</v>
      </c>
      <c r="D674" t="s">
        <v>55</v>
      </c>
    </row>
    <row r="675" spans="1:4" x14ac:dyDescent="0.25">
      <c r="A675" t="s">
        <v>133</v>
      </c>
      <c r="B675" s="2">
        <v>45747</v>
      </c>
      <c r="C675">
        <v>7.2</v>
      </c>
      <c r="D675" t="s">
        <v>53</v>
      </c>
    </row>
    <row r="676" spans="1:4" x14ac:dyDescent="0.25">
      <c r="A676" t="s">
        <v>73</v>
      </c>
      <c r="B676" s="2">
        <v>45721</v>
      </c>
      <c r="C676">
        <v>7.2</v>
      </c>
      <c r="D676" t="s">
        <v>55</v>
      </c>
    </row>
    <row r="677" spans="1:4" x14ac:dyDescent="0.25">
      <c r="A677" t="s">
        <v>93</v>
      </c>
      <c r="B677" s="2">
        <v>45720</v>
      </c>
      <c r="C677">
        <v>7.2</v>
      </c>
      <c r="D677" t="s">
        <v>54</v>
      </c>
    </row>
    <row r="678" spans="1:4" x14ac:dyDescent="0.25">
      <c r="A678" t="s">
        <v>133</v>
      </c>
      <c r="B678" s="2">
        <v>45728</v>
      </c>
      <c r="C678">
        <v>7.2</v>
      </c>
      <c r="D678" t="s">
        <v>54</v>
      </c>
    </row>
    <row r="679" spans="1:4" x14ac:dyDescent="0.25">
      <c r="A679" t="s">
        <v>125</v>
      </c>
      <c r="B679" s="2">
        <v>45729</v>
      </c>
      <c r="C679">
        <v>7.2</v>
      </c>
      <c r="D679" t="s">
        <v>54</v>
      </c>
    </row>
    <row r="680" spans="1:4" x14ac:dyDescent="0.25">
      <c r="A680" t="s">
        <v>377</v>
      </c>
      <c r="B680" s="2">
        <v>45730</v>
      </c>
      <c r="C680">
        <v>7.2</v>
      </c>
      <c r="D680" t="s">
        <v>54</v>
      </c>
    </row>
    <row r="681" spans="1:4" x14ac:dyDescent="0.25">
      <c r="A681" t="s">
        <v>104</v>
      </c>
      <c r="B681" s="2">
        <v>45734</v>
      </c>
      <c r="C681">
        <v>7.2</v>
      </c>
      <c r="D681" t="s">
        <v>54</v>
      </c>
    </row>
    <row r="682" spans="1:4" x14ac:dyDescent="0.25">
      <c r="A682" t="s">
        <v>133</v>
      </c>
      <c r="B682" s="2">
        <v>45736</v>
      </c>
      <c r="C682">
        <v>7.2</v>
      </c>
      <c r="D682" t="s">
        <v>54</v>
      </c>
    </row>
    <row r="683" spans="1:4" x14ac:dyDescent="0.25">
      <c r="A683" t="s">
        <v>65</v>
      </c>
      <c r="B683" s="2">
        <v>45740</v>
      </c>
      <c r="C683">
        <v>7.2</v>
      </c>
      <c r="D683" t="s">
        <v>54</v>
      </c>
    </row>
    <row r="684" spans="1:4" x14ac:dyDescent="0.25">
      <c r="A684" t="s">
        <v>384</v>
      </c>
      <c r="B684" s="2">
        <v>45741</v>
      </c>
      <c r="C684">
        <v>7.2</v>
      </c>
      <c r="D684" t="s">
        <v>54</v>
      </c>
    </row>
    <row r="685" spans="1:4" x14ac:dyDescent="0.25">
      <c r="A685" t="s">
        <v>145</v>
      </c>
      <c r="B685" s="2">
        <v>45742</v>
      </c>
      <c r="C685">
        <v>7.2</v>
      </c>
      <c r="D685" t="s">
        <v>54</v>
      </c>
    </row>
    <row r="686" spans="1:4" x14ac:dyDescent="0.25">
      <c r="A686" t="s">
        <v>101</v>
      </c>
      <c r="B686" s="2">
        <v>45743</v>
      </c>
      <c r="C686">
        <v>7.2</v>
      </c>
      <c r="D686" t="s">
        <v>54</v>
      </c>
    </row>
    <row r="687" spans="1:4" x14ac:dyDescent="0.25">
      <c r="A687" t="s">
        <v>130</v>
      </c>
      <c r="B687" s="2">
        <v>45747</v>
      </c>
      <c r="C687">
        <v>7.2</v>
      </c>
      <c r="D687" t="s">
        <v>54</v>
      </c>
    </row>
    <row r="688" spans="1:4" x14ac:dyDescent="0.25">
      <c r="A688" t="s">
        <v>131</v>
      </c>
      <c r="B688" s="2">
        <v>45728</v>
      </c>
      <c r="C688">
        <v>7.2</v>
      </c>
      <c r="D688" t="s">
        <v>55</v>
      </c>
    </row>
    <row r="689" spans="1:4" x14ac:dyDescent="0.25">
      <c r="A689" t="s">
        <v>105</v>
      </c>
      <c r="B689" s="2">
        <v>45722</v>
      </c>
      <c r="C689">
        <v>5</v>
      </c>
      <c r="D689" t="s">
        <v>55</v>
      </c>
    </row>
    <row r="690" spans="1:4" x14ac:dyDescent="0.25">
      <c r="A690" t="s">
        <v>143</v>
      </c>
      <c r="B690" s="2">
        <v>45719</v>
      </c>
      <c r="C690">
        <v>7.2</v>
      </c>
      <c r="D690" t="s">
        <v>55</v>
      </c>
    </row>
    <row r="691" spans="1:4" x14ac:dyDescent="0.25">
      <c r="A691" t="s">
        <v>84</v>
      </c>
      <c r="B691" s="2">
        <v>45720</v>
      </c>
      <c r="C691">
        <v>7.2</v>
      </c>
      <c r="D691" t="s">
        <v>55</v>
      </c>
    </row>
    <row r="692" spans="1:4" x14ac:dyDescent="0.25">
      <c r="A692" t="s">
        <v>149</v>
      </c>
      <c r="B692" s="2">
        <v>45721</v>
      </c>
      <c r="C692">
        <v>7.2</v>
      </c>
      <c r="D692" t="s">
        <v>55</v>
      </c>
    </row>
    <row r="693" spans="1:4" x14ac:dyDescent="0.25">
      <c r="A693" t="s">
        <v>127</v>
      </c>
      <c r="B693" s="2">
        <v>45722</v>
      </c>
      <c r="C693">
        <v>7.2</v>
      </c>
      <c r="D693" t="s">
        <v>55</v>
      </c>
    </row>
    <row r="694" spans="1:4" x14ac:dyDescent="0.25">
      <c r="A694" t="s">
        <v>69</v>
      </c>
      <c r="B694" s="2">
        <v>45723</v>
      </c>
      <c r="C694">
        <v>7.2</v>
      </c>
      <c r="D694" t="s">
        <v>55</v>
      </c>
    </row>
    <row r="695" spans="1:4" x14ac:dyDescent="0.25">
      <c r="A695" t="s">
        <v>107</v>
      </c>
      <c r="B695" s="2">
        <v>45721</v>
      </c>
      <c r="C695">
        <v>6</v>
      </c>
      <c r="D695" t="s">
        <v>54</v>
      </c>
    </row>
    <row r="696" spans="1:4" x14ac:dyDescent="0.25">
      <c r="A696" t="s">
        <v>138</v>
      </c>
      <c r="B696" s="2">
        <v>45724</v>
      </c>
      <c r="C696">
        <v>6</v>
      </c>
      <c r="D696" t="s">
        <v>54</v>
      </c>
    </row>
    <row r="697" spans="1:4" x14ac:dyDescent="0.25">
      <c r="A697" t="s">
        <v>127</v>
      </c>
      <c r="B697" s="2">
        <v>45726</v>
      </c>
      <c r="C697">
        <v>6</v>
      </c>
      <c r="D697" t="s">
        <v>54</v>
      </c>
    </row>
    <row r="698" spans="1:4" x14ac:dyDescent="0.25">
      <c r="A698" t="s">
        <v>378</v>
      </c>
      <c r="B698" s="2">
        <v>45727</v>
      </c>
      <c r="C698">
        <v>6</v>
      </c>
      <c r="D698" t="s">
        <v>54</v>
      </c>
    </row>
    <row r="699" spans="1:4" x14ac:dyDescent="0.25">
      <c r="A699" t="s">
        <v>130</v>
      </c>
      <c r="B699" s="2">
        <v>45728</v>
      </c>
      <c r="C699">
        <v>6</v>
      </c>
      <c r="D699" t="s">
        <v>54</v>
      </c>
    </row>
    <row r="700" spans="1:4" x14ac:dyDescent="0.25">
      <c r="A700" t="s">
        <v>91</v>
      </c>
      <c r="B700" s="2">
        <v>45730</v>
      </c>
      <c r="C700">
        <v>6</v>
      </c>
      <c r="D700" t="s">
        <v>54</v>
      </c>
    </row>
    <row r="701" spans="1:4" x14ac:dyDescent="0.25">
      <c r="A701" t="s">
        <v>118</v>
      </c>
      <c r="B701" s="2">
        <v>45731</v>
      </c>
      <c r="C701">
        <v>6</v>
      </c>
      <c r="D701" t="s">
        <v>54</v>
      </c>
    </row>
    <row r="702" spans="1:4" x14ac:dyDescent="0.25">
      <c r="A702" t="s">
        <v>93</v>
      </c>
      <c r="B702" s="2">
        <v>45734</v>
      </c>
      <c r="C702">
        <v>6</v>
      </c>
      <c r="D702" t="s">
        <v>54</v>
      </c>
    </row>
    <row r="703" spans="1:4" x14ac:dyDescent="0.25">
      <c r="A703" t="s">
        <v>147</v>
      </c>
      <c r="B703" s="2">
        <v>45736</v>
      </c>
      <c r="C703">
        <v>6</v>
      </c>
      <c r="D703" t="s">
        <v>54</v>
      </c>
    </row>
    <row r="704" spans="1:4" x14ac:dyDescent="0.25">
      <c r="A704" t="s">
        <v>93</v>
      </c>
      <c r="B704" s="2">
        <v>45738</v>
      </c>
      <c r="C704">
        <v>6</v>
      </c>
      <c r="D704" t="s">
        <v>54</v>
      </c>
    </row>
    <row r="705" spans="1:4" x14ac:dyDescent="0.25">
      <c r="A705" t="s">
        <v>133</v>
      </c>
      <c r="B705" s="2">
        <v>45739</v>
      </c>
      <c r="C705">
        <v>6</v>
      </c>
      <c r="D705" t="s">
        <v>54</v>
      </c>
    </row>
    <row r="706" spans="1:4" x14ac:dyDescent="0.25">
      <c r="A706" t="s">
        <v>88</v>
      </c>
      <c r="B706" s="2">
        <v>45740</v>
      </c>
      <c r="C706">
        <v>6</v>
      </c>
      <c r="D706" t="s">
        <v>54</v>
      </c>
    </row>
    <row r="707" spans="1:4" x14ac:dyDescent="0.25">
      <c r="A707" t="s">
        <v>75</v>
      </c>
      <c r="B707" s="2">
        <v>45741</v>
      </c>
      <c r="C707">
        <v>6</v>
      </c>
      <c r="D707" t="s">
        <v>54</v>
      </c>
    </row>
    <row r="708" spans="1:4" x14ac:dyDescent="0.25">
      <c r="A708" t="s">
        <v>89</v>
      </c>
      <c r="B708" s="2">
        <v>45745</v>
      </c>
      <c r="C708">
        <v>6</v>
      </c>
      <c r="D708" t="s">
        <v>54</v>
      </c>
    </row>
    <row r="709" spans="1:4" x14ac:dyDescent="0.25">
      <c r="A709" t="s">
        <v>118</v>
      </c>
      <c r="B709" s="2">
        <v>45722</v>
      </c>
      <c r="C709">
        <v>7.2</v>
      </c>
      <c r="D709" t="s">
        <v>55</v>
      </c>
    </row>
    <row r="710" spans="1:4" x14ac:dyDescent="0.25">
      <c r="A710" t="s">
        <v>109</v>
      </c>
      <c r="B710" s="2">
        <v>45730</v>
      </c>
      <c r="C710">
        <v>6</v>
      </c>
      <c r="D710" t="s">
        <v>55</v>
      </c>
    </row>
    <row r="711" spans="1:4" x14ac:dyDescent="0.25">
      <c r="A711" t="s">
        <v>102</v>
      </c>
      <c r="B711" s="2">
        <v>45726</v>
      </c>
      <c r="C711">
        <v>7.2</v>
      </c>
      <c r="D711" t="s">
        <v>53</v>
      </c>
    </row>
    <row r="712" spans="1:4" x14ac:dyDescent="0.25">
      <c r="A712" t="s">
        <v>146</v>
      </c>
      <c r="B712" s="2">
        <v>45727</v>
      </c>
      <c r="C712">
        <v>7.2</v>
      </c>
      <c r="D712" t="s">
        <v>55</v>
      </c>
    </row>
    <row r="713" spans="1:4" x14ac:dyDescent="0.25">
      <c r="A713" t="s">
        <v>86</v>
      </c>
      <c r="B713" s="2">
        <v>45728</v>
      </c>
      <c r="C713">
        <v>7.2</v>
      </c>
      <c r="D713" t="s">
        <v>55</v>
      </c>
    </row>
    <row r="714" spans="1:4" x14ac:dyDescent="0.25">
      <c r="A714" t="s">
        <v>133</v>
      </c>
      <c r="B714" s="2">
        <v>45729</v>
      </c>
      <c r="C714">
        <v>7.2</v>
      </c>
      <c r="D714" t="s">
        <v>55</v>
      </c>
    </row>
    <row r="715" spans="1:4" x14ac:dyDescent="0.25">
      <c r="A715" t="s">
        <v>77</v>
      </c>
      <c r="B715" s="2">
        <v>45730</v>
      </c>
      <c r="C715">
        <v>7.2</v>
      </c>
      <c r="D715" t="s">
        <v>55</v>
      </c>
    </row>
    <row r="716" spans="1:4" x14ac:dyDescent="0.25">
      <c r="A716" t="s">
        <v>136</v>
      </c>
      <c r="B716" s="2">
        <v>45733</v>
      </c>
      <c r="C716">
        <v>7.2</v>
      </c>
      <c r="D716" t="s">
        <v>55</v>
      </c>
    </row>
    <row r="717" spans="1:4" x14ac:dyDescent="0.25">
      <c r="A717" t="s">
        <v>73</v>
      </c>
      <c r="B717" s="2">
        <v>45734</v>
      </c>
      <c r="C717">
        <v>7.2</v>
      </c>
      <c r="D717" t="s">
        <v>55</v>
      </c>
    </row>
    <row r="718" spans="1:4" x14ac:dyDescent="0.25">
      <c r="A718" t="s">
        <v>147</v>
      </c>
      <c r="B718" s="2">
        <v>45735</v>
      </c>
      <c r="C718">
        <v>7.2</v>
      </c>
      <c r="D718" t="s">
        <v>55</v>
      </c>
    </row>
    <row r="719" spans="1:4" x14ac:dyDescent="0.25">
      <c r="A719" t="s">
        <v>123</v>
      </c>
      <c r="B719" s="2">
        <v>45726</v>
      </c>
      <c r="C719">
        <v>6</v>
      </c>
      <c r="D719" t="s">
        <v>55</v>
      </c>
    </row>
    <row r="720" spans="1:4" x14ac:dyDescent="0.25">
      <c r="A720" t="s">
        <v>82</v>
      </c>
      <c r="B720" s="2">
        <v>45727</v>
      </c>
      <c r="C720">
        <v>6</v>
      </c>
      <c r="D720" t="s">
        <v>55</v>
      </c>
    </row>
    <row r="721" spans="1:4" x14ac:dyDescent="0.25">
      <c r="A721" t="s">
        <v>386</v>
      </c>
      <c r="B721" s="2">
        <v>45728</v>
      </c>
      <c r="C721">
        <v>6</v>
      </c>
      <c r="D721" t="s">
        <v>55</v>
      </c>
    </row>
    <row r="722" spans="1:4" x14ac:dyDescent="0.25">
      <c r="A722" t="s">
        <v>98</v>
      </c>
      <c r="B722" s="2">
        <v>45729</v>
      </c>
      <c r="C722">
        <v>6</v>
      </c>
      <c r="D722" t="s">
        <v>55</v>
      </c>
    </row>
    <row r="723" spans="1:4" x14ac:dyDescent="0.25">
      <c r="A723" t="s">
        <v>70</v>
      </c>
      <c r="B723" s="2">
        <v>45730</v>
      </c>
      <c r="C723">
        <v>6</v>
      </c>
      <c r="D723" t="s">
        <v>55</v>
      </c>
    </row>
    <row r="724" spans="1:4" x14ac:dyDescent="0.25">
      <c r="A724" t="s">
        <v>66</v>
      </c>
      <c r="B724" s="2">
        <v>45731</v>
      </c>
      <c r="C724">
        <v>6</v>
      </c>
      <c r="D724" t="s">
        <v>55</v>
      </c>
    </row>
    <row r="725" spans="1:4" x14ac:dyDescent="0.25">
      <c r="A725" t="s">
        <v>81</v>
      </c>
      <c r="B725" s="2">
        <v>45719</v>
      </c>
      <c r="C725">
        <v>7.2</v>
      </c>
      <c r="D725" t="s">
        <v>55</v>
      </c>
    </row>
    <row r="726" spans="1:4" x14ac:dyDescent="0.25">
      <c r="A726" t="s">
        <v>132</v>
      </c>
      <c r="B726" s="2">
        <v>45720</v>
      </c>
      <c r="C726">
        <v>7.2</v>
      </c>
      <c r="D726" t="s">
        <v>55</v>
      </c>
    </row>
    <row r="727" spans="1:4" x14ac:dyDescent="0.25">
      <c r="A727" t="s">
        <v>75</v>
      </c>
      <c r="B727" s="2">
        <v>45721</v>
      </c>
      <c r="C727">
        <v>7.2</v>
      </c>
      <c r="D727" t="s">
        <v>55</v>
      </c>
    </row>
    <row r="728" spans="1:4" x14ac:dyDescent="0.25">
      <c r="A728" t="s">
        <v>65</v>
      </c>
      <c r="B728" s="2">
        <v>45722</v>
      </c>
      <c r="C728">
        <v>7.2</v>
      </c>
      <c r="D728" t="s">
        <v>55</v>
      </c>
    </row>
    <row r="729" spans="1:4" x14ac:dyDescent="0.25">
      <c r="A729" t="s">
        <v>140</v>
      </c>
      <c r="B729" s="2">
        <v>45726</v>
      </c>
      <c r="C729">
        <v>7.2</v>
      </c>
      <c r="D729" t="s">
        <v>55</v>
      </c>
    </row>
    <row r="730" spans="1:4" x14ac:dyDescent="0.25">
      <c r="A730" t="s">
        <v>78</v>
      </c>
      <c r="B730" s="2">
        <v>45727</v>
      </c>
      <c r="C730">
        <v>7.2</v>
      </c>
      <c r="D730" t="s">
        <v>55</v>
      </c>
    </row>
    <row r="731" spans="1:4" x14ac:dyDescent="0.25">
      <c r="A731" t="s">
        <v>104</v>
      </c>
      <c r="B731" s="2">
        <v>45723</v>
      </c>
      <c r="C731">
        <v>7.2</v>
      </c>
      <c r="D731" t="s">
        <v>55</v>
      </c>
    </row>
    <row r="732" spans="1:4" x14ac:dyDescent="0.25">
      <c r="A732" t="s">
        <v>76</v>
      </c>
      <c r="B732" s="2">
        <v>45730</v>
      </c>
      <c r="C732">
        <v>7.2</v>
      </c>
      <c r="D732" t="s">
        <v>55</v>
      </c>
    </row>
    <row r="733" spans="1:4" x14ac:dyDescent="0.25">
      <c r="A733" t="s">
        <v>77</v>
      </c>
      <c r="B733" s="2">
        <v>45733</v>
      </c>
      <c r="C733">
        <v>7.2</v>
      </c>
      <c r="D733" t="s">
        <v>55</v>
      </c>
    </row>
    <row r="734" spans="1:4" x14ac:dyDescent="0.25">
      <c r="A734" t="s">
        <v>67</v>
      </c>
      <c r="B734" s="2">
        <v>45734</v>
      </c>
      <c r="C734">
        <v>7.2</v>
      </c>
      <c r="D734" t="s">
        <v>55</v>
      </c>
    </row>
    <row r="735" spans="1:4" x14ac:dyDescent="0.25">
      <c r="A735" t="s">
        <v>115</v>
      </c>
      <c r="B735" s="2">
        <v>45735</v>
      </c>
      <c r="C735">
        <v>7.2</v>
      </c>
      <c r="D735" t="s">
        <v>55</v>
      </c>
    </row>
    <row r="736" spans="1:4" x14ac:dyDescent="0.25">
      <c r="A736" t="s">
        <v>375</v>
      </c>
      <c r="B736" s="2">
        <v>45736</v>
      </c>
      <c r="C736">
        <v>7.2</v>
      </c>
      <c r="D736" t="s">
        <v>55</v>
      </c>
    </row>
    <row r="737" spans="1:4" x14ac:dyDescent="0.25">
      <c r="A737" t="s">
        <v>133</v>
      </c>
      <c r="B737" s="2">
        <v>45737</v>
      </c>
      <c r="C737">
        <v>7.2</v>
      </c>
      <c r="D737" t="s">
        <v>55</v>
      </c>
    </row>
    <row r="738" spans="1:4" x14ac:dyDescent="0.25">
      <c r="A738" t="s">
        <v>119</v>
      </c>
      <c r="B738" s="2">
        <v>45720</v>
      </c>
      <c r="C738">
        <v>7.2</v>
      </c>
      <c r="D738" t="s">
        <v>53</v>
      </c>
    </row>
    <row r="739" spans="1:4" x14ac:dyDescent="0.25">
      <c r="A739" t="s">
        <v>135</v>
      </c>
      <c r="B739" s="2">
        <v>45719</v>
      </c>
      <c r="C739">
        <v>7.2</v>
      </c>
      <c r="D739" t="s">
        <v>55</v>
      </c>
    </row>
    <row r="740" spans="1:4" x14ac:dyDescent="0.25">
      <c r="A740" t="s">
        <v>382</v>
      </c>
      <c r="B740" s="2">
        <v>45720</v>
      </c>
      <c r="C740">
        <v>7.2</v>
      </c>
      <c r="D740" t="s">
        <v>55</v>
      </c>
    </row>
    <row r="741" spans="1:4" x14ac:dyDescent="0.25">
      <c r="A741" t="s">
        <v>93</v>
      </c>
      <c r="B741" s="2">
        <v>45721</v>
      </c>
      <c r="C741">
        <v>7.2</v>
      </c>
      <c r="D741" t="s">
        <v>55</v>
      </c>
    </row>
    <row r="742" spans="1:4" x14ac:dyDescent="0.25">
      <c r="A742" t="s">
        <v>145</v>
      </c>
      <c r="B742" s="2">
        <v>45722</v>
      </c>
      <c r="C742">
        <v>7.2</v>
      </c>
      <c r="D742" t="s">
        <v>55</v>
      </c>
    </row>
    <row r="743" spans="1:4" x14ac:dyDescent="0.25">
      <c r="A743" t="s">
        <v>108</v>
      </c>
      <c r="B743" s="2">
        <v>45723</v>
      </c>
      <c r="C743">
        <v>7.2</v>
      </c>
      <c r="D743" t="s">
        <v>55</v>
      </c>
    </row>
    <row r="744" spans="1:4" x14ac:dyDescent="0.25">
      <c r="A744" t="s">
        <v>64</v>
      </c>
      <c r="B744" s="2">
        <v>45726</v>
      </c>
      <c r="C744">
        <v>7.2</v>
      </c>
      <c r="D744" t="s">
        <v>55</v>
      </c>
    </row>
    <row r="745" spans="1:4" x14ac:dyDescent="0.25">
      <c r="A745" t="s">
        <v>68</v>
      </c>
      <c r="B745" s="2">
        <v>45727</v>
      </c>
      <c r="C745">
        <v>7.2</v>
      </c>
      <c r="D745" t="s">
        <v>55</v>
      </c>
    </row>
    <row r="746" spans="1:4" x14ac:dyDescent="0.25">
      <c r="A746" t="s">
        <v>86</v>
      </c>
      <c r="B746" s="2">
        <v>45728</v>
      </c>
      <c r="C746">
        <v>7.2</v>
      </c>
      <c r="D746" t="s">
        <v>55</v>
      </c>
    </row>
    <row r="747" spans="1:4" x14ac:dyDescent="0.25">
      <c r="A747" t="s">
        <v>115</v>
      </c>
      <c r="B747" s="2">
        <v>45719</v>
      </c>
      <c r="C747">
        <v>6</v>
      </c>
      <c r="D747" t="s">
        <v>55</v>
      </c>
    </row>
    <row r="748" spans="1:4" x14ac:dyDescent="0.25">
      <c r="A748" t="s">
        <v>138</v>
      </c>
      <c r="B748" s="2">
        <v>45721</v>
      </c>
      <c r="C748">
        <v>7.2</v>
      </c>
      <c r="D748" t="s">
        <v>54</v>
      </c>
    </row>
    <row r="749" spans="1:4" x14ac:dyDescent="0.25">
      <c r="A749" t="s">
        <v>136</v>
      </c>
      <c r="B749" s="2">
        <v>45722</v>
      </c>
      <c r="C749">
        <v>7.2</v>
      </c>
      <c r="D749" t="s">
        <v>54</v>
      </c>
    </row>
    <row r="750" spans="1:4" x14ac:dyDescent="0.25">
      <c r="A750" t="s">
        <v>379</v>
      </c>
      <c r="B750" s="2">
        <v>45726</v>
      </c>
      <c r="C750">
        <v>7.2</v>
      </c>
      <c r="D750" t="s">
        <v>54</v>
      </c>
    </row>
    <row r="751" spans="1:4" x14ac:dyDescent="0.25">
      <c r="A751" t="s">
        <v>101</v>
      </c>
      <c r="B751" s="2">
        <v>45727</v>
      </c>
      <c r="C751">
        <v>7.2</v>
      </c>
      <c r="D751" t="s">
        <v>54</v>
      </c>
    </row>
    <row r="752" spans="1:4" x14ac:dyDescent="0.25">
      <c r="A752" t="s">
        <v>384</v>
      </c>
      <c r="B752" s="2">
        <v>45736</v>
      </c>
      <c r="C752">
        <v>7.2</v>
      </c>
      <c r="D752" t="s">
        <v>54</v>
      </c>
    </row>
    <row r="753" spans="1:4" x14ac:dyDescent="0.25">
      <c r="A753" t="s">
        <v>120</v>
      </c>
      <c r="B753" s="2">
        <v>45740</v>
      </c>
      <c r="C753">
        <v>7.2</v>
      </c>
      <c r="D753" t="s">
        <v>54</v>
      </c>
    </row>
    <row r="754" spans="1:4" x14ac:dyDescent="0.25">
      <c r="A754" t="s">
        <v>386</v>
      </c>
      <c r="B754" s="2">
        <v>45741</v>
      </c>
      <c r="C754">
        <v>7.2</v>
      </c>
      <c r="D754" t="s">
        <v>54</v>
      </c>
    </row>
    <row r="755" spans="1:4" x14ac:dyDescent="0.25">
      <c r="A755" t="s">
        <v>105</v>
      </c>
      <c r="B755" s="2">
        <v>45718</v>
      </c>
      <c r="C755">
        <v>6</v>
      </c>
      <c r="D755" t="s">
        <v>54</v>
      </c>
    </row>
    <row r="756" spans="1:4" x14ac:dyDescent="0.25">
      <c r="A756" t="s">
        <v>386</v>
      </c>
      <c r="B756" s="2">
        <v>45721</v>
      </c>
      <c r="C756">
        <v>6</v>
      </c>
      <c r="D756" t="s">
        <v>54</v>
      </c>
    </row>
    <row r="757" spans="1:4" x14ac:dyDescent="0.25">
      <c r="A757" t="s">
        <v>91</v>
      </c>
      <c r="B757" s="2">
        <v>45724</v>
      </c>
      <c r="C757">
        <v>6</v>
      </c>
      <c r="D757" t="s">
        <v>54</v>
      </c>
    </row>
    <row r="758" spans="1:4" x14ac:dyDescent="0.25">
      <c r="A758" t="s">
        <v>89</v>
      </c>
      <c r="B758" s="2">
        <v>45727</v>
      </c>
      <c r="C758">
        <v>6</v>
      </c>
      <c r="D758" t="s">
        <v>54</v>
      </c>
    </row>
    <row r="759" spans="1:4" x14ac:dyDescent="0.25">
      <c r="A759" t="s">
        <v>75</v>
      </c>
      <c r="B759" s="2">
        <v>45731</v>
      </c>
      <c r="C759">
        <v>6</v>
      </c>
      <c r="D759" t="s">
        <v>54</v>
      </c>
    </row>
    <row r="760" spans="1:4" x14ac:dyDescent="0.25">
      <c r="A760" t="s">
        <v>112</v>
      </c>
      <c r="B760" s="2">
        <v>45732</v>
      </c>
      <c r="C760">
        <v>6</v>
      </c>
      <c r="D760" t="s">
        <v>54</v>
      </c>
    </row>
    <row r="761" spans="1:4" x14ac:dyDescent="0.25">
      <c r="A761" t="s">
        <v>138</v>
      </c>
      <c r="B761" s="2">
        <v>45735</v>
      </c>
      <c r="C761">
        <v>6</v>
      </c>
      <c r="D761" t="s">
        <v>54</v>
      </c>
    </row>
    <row r="762" spans="1:4" x14ac:dyDescent="0.25">
      <c r="A762" t="s">
        <v>67</v>
      </c>
      <c r="B762" s="2">
        <v>45736</v>
      </c>
      <c r="C762">
        <v>6</v>
      </c>
      <c r="D762" t="s">
        <v>54</v>
      </c>
    </row>
    <row r="763" spans="1:4" x14ac:dyDescent="0.25">
      <c r="A763" t="s">
        <v>73</v>
      </c>
      <c r="B763" s="2">
        <v>45739</v>
      </c>
      <c r="C763">
        <v>6</v>
      </c>
      <c r="D763" t="s">
        <v>54</v>
      </c>
    </row>
    <row r="764" spans="1:4" x14ac:dyDescent="0.25">
      <c r="A764" t="s">
        <v>91</v>
      </c>
      <c r="B764" s="2">
        <v>45740</v>
      </c>
      <c r="C764">
        <v>6</v>
      </c>
      <c r="D764" t="s">
        <v>54</v>
      </c>
    </row>
    <row r="765" spans="1:4" x14ac:dyDescent="0.25">
      <c r="A765" t="s">
        <v>68</v>
      </c>
      <c r="B765" s="2">
        <v>45741</v>
      </c>
      <c r="C765">
        <v>6</v>
      </c>
      <c r="D765" t="s">
        <v>54</v>
      </c>
    </row>
    <row r="766" spans="1:4" x14ac:dyDescent="0.25">
      <c r="A766" t="s">
        <v>89</v>
      </c>
      <c r="B766" s="2">
        <v>45742</v>
      </c>
      <c r="C766">
        <v>6</v>
      </c>
      <c r="D766" t="s">
        <v>54</v>
      </c>
    </row>
    <row r="767" spans="1:4" x14ac:dyDescent="0.25">
      <c r="A767" t="s">
        <v>107</v>
      </c>
      <c r="B767" s="2">
        <v>45743</v>
      </c>
      <c r="C767">
        <v>6</v>
      </c>
      <c r="D767" t="s">
        <v>54</v>
      </c>
    </row>
    <row r="768" spans="1:4" x14ac:dyDescent="0.25">
      <c r="A768" t="s">
        <v>85</v>
      </c>
      <c r="B768" s="2">
        <v>45744</v>
      </c>
      <c r="C768">
        <v>6</v>
      </c>
      <c r="D768" t="s">
        <v>54</v>
      </c>
    </row>
    <row r="769" spans="1:4" x14ac:dyDescent="0.25">
      <c r="A769" t="s">
        <v>102</v>
      </c>
      <c r="B769" s="2">
        <v>45747</v>
      </c>
      <c r="C769">
        <v>6</v>
      </c>
      <c r="D769" t="s">
        <v>54</v>
      </c>
    </row>
    <row r="770" spans="1:4" x14ac:dyDescent="0.25">
      <c r="A770" t="s">
        <v>385</v>
      </c>
      <c r="B770" s="2">
        <v>45729</v>
      </c>
      <c r="C770">
        <v>7.2</v>
      </c>
      <c r="D770" t="s">
        <v>55</v>
      </c>
    </row>
    <row r="771" spans="1:4" x14ac:dyDescent="0.25">
      <c r="A771" t="s">
        <v>113</v>
      </c>
      <c r="B771" s="2">
        <v>45730</v>
      </c>
      <c r="C771">
        <v>7.2</v>
      </c>
      <c r="D771" t="s">
        <v>55</v>
      </c>
    </row>
    <row r="772" spans="1:4" x14ac:dyDescent="0.25">
      <c r="A772" t="s">
        <v>149</v>
      </c>
      <c r="B772" s="2">
        <v>45726</v>
      </c>
      <c r="C772">
        <v>7.2</v>
      </c>
      <c r="D772" t="s">
        <v>55</v>
      </c>
    </row>
    <row r="773" spans="1:4" x14ac:dyDescent="0.25">
      <c r="A773" t="s">
        <v>128</v>
      </c>
      <c r="B773" s="2">
        <v>45733</v>
      </c>
      <c r="C773">
        <v>7.2</v>
      </c>
      <c r="D773" t="s">
        <v>55</v>
      </c>
    </row>
    <row r="774" spans="1:4" x14ac:dyDescent="0.25">
      <c r="A774" t="s">
        <v>71</v>
      </c>
      <c r="B774" s="2">
        <v>45726</v>
      </c>
      <c r="C774">
        <v>7.2</v>
      </c>
      <c r="D774" t="s">
        <v>53</v>
      </c>
    </row>
    <row r="775" spans="1:4" x14ac:dyDescent="0.25">
      <c r="A775" t="s">
        <v>145</v>
      </c>
      <c r="B775" s="2">
        <v>45743</v>
      </c>
      <c r="C775">
        <v>7.2</v>
      </c>
      <c r="D775" t="s">
        <v>53</v>
      </c>
    </row>
    <row r="776" spans="1:4" x14ac:dyDescent="0.25">
      <c r="A776" t="s">
        <v>89</v>
      </c>
      <c r="B776" s="2">
        <v>45727</v>
      </c>
      <c r="C776">
        <v>4</v>
      </c>
      <c r="D776" t="s">
        <v>55</v>
      </c>
    </row>
    <row r="777" spans="1:4" x14ac:dyDescent="0.25">
      <c r="A777" t="s">
        <v>148</v>
      </c>
      <c r="B777" s="2">
        <v>45728</v>
      </c>
      <c r="C777">
        <v>4</v>
      </c>
      <c r="D777" t="s">
        <v>55</v>
      </c>
    </row>
    <row r="778" spans="1:4" x14ac:dyDescent="0.25">
      <c r="A778" t="s">
        <v>127</v>
      </c>
      <c r="B778" s="2">
        <v>45729</v>
      </c>
      <c r="C778">
        <v>4</v>
      </c>
      <c r="D778" t="s">
        <v>55</v>
      </c>
    </row>
    <row r="779" spans="1:4" x14ac:dyDescent="0.25">
      <c r="A779" t="s">
        <v>95</v>
      </c>
      <c r="B779" s="2">
        <v>45730</v>
      </c>
      <c r="C779">
        <v>4</v>
      </c>
      <c r="D779" t="s">
        <v>55</v>
      </c>
    </row>
    <row r="780" spans="1:4" x14ac:dyDescent="0.25">
      <c r="A780" t="s">
        <v>133</v>
      </c>
      <c r="B780" s="2">
        <v>45727</v>
      </c>
      <c r="C780">
        <v>7</v>
      </c>
      <c r="D780" t="s">
        <v>55</v>
      </c>
    </row>
    <row r="781" spans="1:4" x14ac:dyDescent="0.25">
      <c r="A781" t="s">
        <v>376</v>
      </c>
      <c r="B781" s="2">
        <v>45728</v>
      </c>
      <c r="C781">
        <v>7</v>
      </c>
      <c r="D781" t="s">
        <v>55</v>
      </c>
    </row>
    <row r="782" spans="1:4" x14ac:dyDescent="0.25">
      <c r="A782" t="s">
        <v>89</v>
      </c>
      <c r="B782" s="2">
        <v>45729</v>
      </c>
      <c r="C782">
        <v>7.2</v>
      </c>
      <c r="D782" t="s">
        <v>55</v>
      </c>
    </row>
    <row r="783" spans="1:4" x14ac:dyDescent="0.25">
      <c r="A783" t="s">
        <v>88</v>
      </c>
      <c r="B783" s="2">
        <v>45719</v>
      </c>
      <c r="C783">
        <v>6</v>
      </c>
      <c r="D783" t="s">
        <v>55</v>
      </c>
    </row>
    <row r="784" spans="1:4" x14ac:dyDescent="0.25">
      <c r="A784" t="s">
        <v>385</v>
      </c>
      <c r="B784" s="2">
        <v>45726</v>
      </c>
      <c r="C784">
        <v>6</v>
      </c>
      <c r="D784" t="s">
        <v>55</v>
      </c>
    </row>
    <row r="785" spans="1:4" x14ac:dyDescent="0.25">
      <c r="A785" t="s">
        <v>145</v>
      </c>
      <c r="B785" s="2">
        <v>45727</v>
      </c>
      <c r="C785">
        <v>6</v>
      </c>
      <c r="D785" t="s">
        <v>55</v>
      </c>
    </row>
    <row r="786" spans="1:4" x14ac:dyDescent="0.25">
      <c r="A786" t="s">
        <v>76</v>
      </c>
      <c r="B786" s="2">
        <v>45728</v>
      </c>
      <c r="C786">
        <v>6</v>
      </c>
      <c r="D786" t="s">
        <v>55</v>
      </c>
    </row>
    <row r="787" spans="1:4" x14ac:dyDescent="0.25">
      <c r="A787" t="s">
        <v>127</v>
      </c>
      <c r="B787" s="2">
        <v>45720</v>
      </c>
      <c r="C787">
        <v>6</v>
      </c>
      <c r="D787" t="s">
        <v>54</v>
      </c>
    </row>
    <row r="788" spans="1:4" x14ac:dyDescent="0.25">
      <c r="A788" t="s">
        <v>105</v>
      </c>
      <c r="B788" s="2">
        <v>45721</v>
      </c>
      <c r="C788">
        <v>6</v>
      </c>
      <c r="D788" t="s">
        <v>54</v>
      </c>
    </row>
    <row r="789" spans="1:4" x14ac:dyDescent="0.25">
      <c r="A789" t="s">
        <v>128</v>
      </c>
      <c r="B789" s="2">
        <v>45722</v>
      </c>
      <c r="C789">
        <v>6</v>
      </c>
      <c r="D789" t="s">
        <v>54</v>
      </c>
    </row>
    <row r="790" spans="1:4" x14ac:dyDescent="0.25">
      <c r="A790" t="s">
        <v>387</v>
      </c>
      <c r="B790" s="2">
        <v>45723</v>
      </c>
      <c r="C790">
        <v>6</v>
      </c>
      <c r="D790" t="s">
        <v>54</v>
      </c>
    </row>
    <row r="791" spans="1:4" x14ac:dyDescent="0.25">
      <c r="A791" t="s">
        <v>120</v>
      </c>
      <c r="B791" s="2">
        <v>45726</v>
      </c>
      <c r="C791">
        <v>6</v>
      </c>
      <c r="D791" t="s">
        <v>54</v>
      </c>
    </row>
    <row r="792" spans="1:4" x14ac:dyDescent="0.25">
      <c r="A792" t="s">
        <v>95</v>
      </c>
      <c r="B792" s="2">
        <v>45736</v>
      </c>
      <c r="C792">
        <v>6</v>
      </c>
      <c r="D792" t="s">
        <v>54</v>
      </c>
    </row>
    <row r="793" spans="1:4" x14ac:dyDescent="0.25">
      <c r="A793" t="s">
        <v>77</v>
      </c>
      <c r="B793" s="2">
        <v>45737</v>
      </c>
      <c r="C793">
        <v>6</v>
      </c>
      <c r="D793" t="s">
        <v>54</v>
      </c>
    </row>
    <row r="794" spans="1:4" x14ac:dyDescent="0.25">
      <c r="A794" t="s">
        <v>131</v>
      </c>
      <c r="B794" s="2">
        <v>45740</v>
      </c>
      <c r="C794">
        <v>6</v>
      </c>
      <c r="D794" t="s">
        <v>54</v>
      </c>
    </row>
    <row r="795" spans="1:4" x14ac:dyDescent="0.25">
      <c r="A795" t="s">
        <v>91</v>
      </c>
      <c r="B795" s="2">
        <v>45741</v>
      </c>
      <c r="C795">
        <v>6</v>
      </c>
      <c r="D795" t="s">
        <v>54</v>
      </c>
    </row>
    <row r="796" spans="1:4" x14ac:dyDescent="0.25">
      <c r="A796" t="s">
        <v>131</v>
      </c>
      <c r="B796" s="2">
        <v>45743</v>
      </c>
      <c r="C796">
        <v>6</v>
      </c>
      <c r="D796" t="s">
        <v>54</v>
      </c>
    </row>
    <row r="797" spans="1:4" x14ac:dyDescent="0.25">
      <c r="A797" t="s">
        <v>68</v>
      </c>
      <c r="B797" s="2">
        <v>45747</v>
      </c>
      <c r="C797">
        <v>6</v>
      </c>
      <c r="D797" t="s">
        <v>54</v>
      </c>
    </row>
    <row r="798" spans="1:4" x14ac:dyDescent="0.25">
      <c r="A798" t="s">
        <v>382</v>
      </c>
      <c r="B798" s="2">
        <v>45730</v>
      </c>
      <c r="C798">
        <v>7.2</v>
      </c>
      <c r="D798" t="s">
        <v>55</v>
      </c>
    </row>
    <row r="799" spans="1:4" x14ac:dyDescent="0.25">
      <c r="A799" t="s">
        <v>98</v>
      </c>
      <c r="B799" s="2">
        <v>45733</v>
      </c>
      <c r="C799">
        <v>7.2</v>
      </c>
      <c r="D799" t="s">
        <v>55</v>
      </c>
    </row>
    <row r="800" spans="1:4" x14ac:dyDescent="0.25">
      <c r="A800" t="s">
        <v>385</v>
      </c>
      <c r="B800" s="2">
        <v>45719</v>
      </c>
      <c r="C800">
        <v>6</v>
      </c>
      <c r="D800" t="s">
        <v>55</v>
      </c>
    </row>
    <row r="801" spans="1:4" x14ac:dyDescent="0.25">
      <c r="A801" t="s">
        <v>94</v>
      </c>
      <c r="B801" s="2">
        <v>45720</v>
      </c>
      <c r="C801">
        <v>7.2</v>
      </c>
      <c r="D801" t="s">
        <v>55</v>
      </c>
    </row>
    <row r="802" spans="1:4" x14ac:dyDescent="0.25">
      <c r="A802" t="s">
        <v>387</v>
      </c>
      <c r="B802" s="2">
        <v>45721</v>
      </c>
      <c r="C802">
        <v>7.2</v>
      </c>
      <c r="D802" t="s">
        <v>55</v>
      </c>
    </row>
    <row r="803" spans="1:4" x14ac:dyDescent="0.25">
      <c r="A803" t="s">
        <v>90</v>
      </c>
      <c r="B803" s="2">
        <v>45726</v>
      </c>
      <c r="C803">
        <v>7.2</v>
      </c>
      <c r="D803" t="s">
        <v>55</v>
      </c>
    </row>
    <row r="804" spans="1:4" x14ac:dyDescent="0.25">
      <c r="A804" t="s">
        <v>108</v>
      </c>
      <c r="B804" s="2">
        <v>45727</v>
      </c>
      <c r="C804">
        <v>7.2</v>
      </c>
      <c r="D804" t="s">
        <v>55</v>
      </c>
    </row>
    <row r="805" spans="1:4" x14ac:dyDescent="0.25">
      <c r="A805" t="s">
        <v>123</v>
      </c>
      <c r="B805" s="2">
        <v>45728</v>
      </c>
      <c r="C805">
        <v>7.2</v>
      </c>
      <c r="D805" t="s">
        <v>55</v>
      </c>
    </row>
    <row r="806" spans="1:4" x14ac:dyDescent="0.25">
      <c r="A806" t="s">
        <v>93</v>
      </c>
      <c r="B806" s="2">
        <v>45733</v>
      </c>
      <c r="C806">
        <v>7.2</v>
      </c>
      <c r="D806" t="s">
        <v>55</v>
      </c>
    </row>
    <row r="807" spans="1:4" x14ac:dyDescent="0.25">
      <c r="A807" t="s">
        <v>111</v>
      </c>
      <c r="B807" s="2">
        <v>45734</v>
      </c>
      <c r="C807">
        <v>7.2</v>
      </c>
      <c r="D807" t="s">
        <v>55</v>
      </c>
    </row>
    <row r="808" spans="1:4" x14ac:dyDescent="0.25">
      <c r="A808" t="s">
        <v>108</v>
      </c>
      <c r="B808" s="2">
        <v>45735</v>
      </c>
      <c r="C808">
        <v>7.2</v>
      </c>
      <c r="D808" t="s">
        <v>55</v>
      </c>
    </row>
    <row r="809" spans="1:4" x14ac:dyDescent="0.25">
      <c r="A809" t="s">
        <v>374</v>
      </c>
      <c r="B809" s="2">
        <v>45733</v>
      </c>
      <c r="C809">
        <v>5</v>
      </c>
      <c r="D809" t="s">
        <v>55</v>
      </c>
    </row>
    <row r="810" spans="1:4" x14ac:dyDescent="0.25">
      <c r="A810" t="s">
        <v>129</v>
      </c>
      <c r="B810" s="2">
        <v>45726</v>
      </c>
      <c r="C810">
        <v>7.2</v>
      </c>
      <c r="D810" t="s">
        <v>55</v>
      </c>
    </row>
    <row r="811" spans="1:4" x14ac:dyDescent="0.25">
      <c r="A811" t="s">
        <v>375</v>
      </c>
      <c r="B811" s="2">
        <v>45727</v>
      </c>
      <c r="C811">
        <v>7.2</v>
      </c>
      <c r="D811" t="s">
        <v>55</v>
      </c>
    </row>
    <row r="812" spans="1:4" x14ac:dyDescent="0.25">
      <c r="A812" t="s">
        <v>93</v>
      </c>
      <c r="B812" s="2">
        <v>45728</v>
      </c>
      <c r="C812">
        <v>7.2</v>
      </c>
      <c r="D812" t="s">
        <v>55</v>
      </c>
    </row>
    <row r="813" spans="1:4" x14ac:dyDescent="0.25">
      <c r="A813" t="s">
        <v>107</v>
      </c>
      <c r="B813" s="2">
        <v>45722</v>
      </c>
      <c r="C813">
        <v>7.2</v>
      </c>
      <c r="D813" t="s">
        <v>55</v>
      </c>
    </row>
    <row r="814" spans="1:4" x14ac:dyDescent="0.25">
      <c r="A814" t="s">
        <v>377</v>
      </c>
      <c r="B814" s="2">
        <v>45718</v>
      </c>
      <c r="C814">
        <v>7.2</v>
      </c>
      <c r="D814" t="s">
        <v>54</v>
      </c>
    </row>
    <row r="815" spans="1:4" x14ac:dyDescent="0.25">
      <c r="A815" t="s">
        <v>145</v>
      </c>
      <c r="B815" s="2">
        <v>45720</v>
      </c>
      <c r="C815">
        <v>7.2</v>
      </c>
      <c r="D815" t="s">
        <v>54</v>
      </c>
    </row>
    <row r="816" spans="1:4" x14ac:dyDescent="0.25">
      <c r="A816" t="s">
        <v>113</v>
      </c>
      <c r="B816" s="2">
        <v>45723</v>
      </c>
      <c r="C816">
        <v>7.2</v>
      </c>
      <c r="D816" t="s">
        <v>54</v>
      </c>
    </row>
    <row r="817" spans="1:4" x14ac:dyDescent="0.25">
      <c r="A817" t="s">
        <v>147</v>
      </c>
      <c r="B817" s="2">
        <v>45724</v>
      </c>
      <c r="C817">
        <v>7.2</v>
      </c>
      <c r="D817" t="s">
        <v>54</v>
      </c>
    </row>
    <row r="818" spans="1:4" x14ac:dyDescent="0.25">
      <c r="A818" t="s">
        <v>104</v>
      </c>
      <c r="B818" s="2">
        <v>45725</v>
      </c>
      <c r="C818">
        <v>7.2</v>
      </c>
      <c r="D818" t="s">
        <v>54</v>
      </c>
    </row>
    <row r="819" spans="1:4" x14ac:dyDescent="0.25">
      <c r="A819" t="s">
        <v>136</v>
      </c>
      <c r="B819" s="2">
        <v>45726</v>
      </c>
      <c r="C819">
        <v>7.2</v>
      </c>
      <c r="D819" t="s">
        <v>54</v>
      </c>
    </row>
    <row r="820" spans="1:4" x14ac:dyDescent="0.25">
      <c r="A820" t="s">
        <v>140</v>
      </c>
      <c r="B820" s="2">
        <v>45728</v>
      </c>
      <c r="C820">
        <v>7.2</v>
      </c>
      <c r="D820" t="s">
        <v>54</v>
      </c>
    </row>
    <row r="821" spans="1:4" x14ac:dyDescent="0.25">
      <c r="A821" t="s">
        <v>114</v>
      </c>
      <c r="B821" s="2">
        <v>45730</v>
      </c>
      <c r="C821">
        <v>7.2</v>
      </c>
      <c r="D821" t="s">
        <v>54</v>
      </c>
    </row>
    <row r="822" spans="1:4" x14ac:dyDescent="0.25">
      <c r="A822" t="s">
        <v>113</v>
      </c>
      <c r="B822" s="2">
        <v>45731</v>
      </c>
      <c r="C822">
        <v>7.2</v>
      </c>
      <c r="D822" t="s">
        <v>54</v>
      </c>
    </row>
    <row r="823" spans="1:4" x14ac:dyDescent="0.25">
      <c r="A823" t="s">
        <v>127</v>
      </c>
      <c r="B823" s="2">
        <v>45733</v>
      </c>
      <c r="C823">
        <v>7.2</v>
      </c>
      <c r="D823" t="s">
        <v>54</v>
      </c>
    </row>
    <row r="824" spans="1:4" x14ac:dyDescent="0.25">
      <c r="A824" t="s">
        <v>65</v>
      </c>
      <c r="B824" s="2">
        <v>45734</v>
      </c>
      <c r="C824">
        <v>7.2</v>
      </c>
      <c r="D824" t="s">
        <v>54</v>
      </c>
    </row>
    <row r="825" spans="1:4" x14ac:dyDescent="0.25">
      <c r="A825" t="s">
        <v>104</v>
      </c>
      <c r="B825" s="2">
        <v>45738</v>
      </c>
      <c r="C825">
        <v>7.2</v>
      </c>
      <c r="D825" t="s">
        <v>54</v>
      </c>
    </row>
    <row r="826" spans="1:4" x14ac:dyDescent="0.25">
      <c r="A826" t="s">
        <v>120</v>
      </c>
      <c r="B826" s="2">
        <v>45740</v>
      </c>
      <c r="C826">
        <v>7.2</v>
      </c>
      <c r="D826" t="s">
        <v>54</v>
      </c>
    </row>
    <row r="827" spans="1:4" x14ac:dyDescent="0.25">
      <c r="A827" t="s">
        <v>67</v>
      </c>
      <c r="B827" s="2">
        <v>45741</v>
      </c>
      <c r="C827">
        <v>7.2</v>
      </c>
      <c r="D827" t="s">
        <v>54</v>
      </c>
    </row>
    <row r="828" spans="1:4" x14ac:dyDescent="0.25">
      <c r="A828" t="s">
        <v>133</v>
      </c>
      <c r="B828" s="2">
        <v>45742</v>
      </c>
      <c r="C828">
        <v>7.2</v>
      </c>
      <c r="D828" t="s">
        <v>54</v>
      </c>
    </row>
    <row r="829" spans="1:4" x14ac:dyDescent="0.25">
      <c r="A829" t="s">
        <v>89</v>
      </c>
      <c r="B829" s="2">
        <v>45743</v>
      </c>
      <c r="C829">
        <v>7.2</v>
      </c>
      <c r="D829" t="s">
        <v>54</v>
      </c>
    </row>
    <row r="830" spans="1:4" x14ac:dyDescent="0.25">
      <c r="A830" t="s">
        <v>65</v>
      </c>
      <c r="B830" s="2">
        <v>45744</v>
      </c>
      <c r="C830">
        <v>7.2</v>
      </c>
      <c r="D830" t="s">
        <v>54</v>
      </c>
    </row>
    <row r="831" spans="1:4" x14ac:dyDescent="0.25">
      <c r="A831" t="s">
        <v>140</v>
      </c>
      <c r="B831" s="2">
        <v>45746</v>
      </c>
      <c r="C831">
        <v>7.2</v>
      </c>
      <c r="D831" t="s">
        <v>54</v>
      </c>
    </row>
    <row r="832" spans="1:4" x14ac:dyDescent="0.25">
      <c r="A832" t="s">
        <v>133</v>
      </c>
      <c r="B832" s="2">
        <v>45747</v>
      </c>
      <c r="C832">
        <v>7.2</v>
      </c>
      <c r="D832" t="s">
        <v>54</v>
      </c>
    </row>
    <row r="833" spans="1:4" x14ac:dyDescent="0.25">
      <c r="A833" t="s">
        <v>381</v>
      </c>
      <c r="B833" s="2">
        <v>45719</v>
      </c>
      <c r="C833">
        <v>7.2</v>
      </c>
      <c r="D833" t="s">
        <v>55</v>
      </c>
    </row>
    <row r="834" spans="1:4" x14ac:dyDescent="0.25">
      <c r="A834" t="s">
        <v>104</v>
      </c>
      <c r="B834" s="2">
        <v>45720</v>
      </c>
      <c r="C834">
        <v>7.2</v>
      </c>
      <c r="D834" t="s">
        <v>55</v>
      </c>
    </row>
    <row r="835" spans="1:4" x14ac:dyDescent="0.25">
      <c r="A835" t="s">
        <v>374</v>
      </c>
      <c r="B835" s="2">
        <v>45721</v>
      </c>
      <c r="C835">
        <v>7.2</v>
      </c>
      <c r="D835" t="s">
        <v>55</v>
      </c>
    </row>
    <row r="836" spans="1:4" x14ac:dyDescent="0.25">
      <c r="A836" t="s">
        <v>87</v>
      </c>
      <c r="B836" s="2">
        <v>45727</v>
      </c>
      <c r="C836">
        <v>7.2</v>
      </c>
      <c r="D836" t="s">
        <v>55</v>
      </c>
    </row>
    <row r="837" spans="1:4" x14ac:dyDescent="0.25">
      <c r="A837" t="s">
        <v>378</v>
      </c>
      <c r="B837" s="2">
        <v>45728</v>
      </c>
      <c r="C837">
        <v>7.2</v>
      </c>
      <c r="D837" t="s">
        <v>55</v>
      </c>
    </row>
    <row r="838" spans="1:4" x14ac:dyDescent="0.25">
      <c r="A838" t="s">
        <v>148</v>
      </c>
      <c r="B838" s="2">
        <v>45726</v>
      </c>
      <c r="C838">
        <v>6</v>
      </c>
      <c r="D838" t="s">
        <v>55</v>
      </c>
    </row>
    <row r="839" spans="1:4" x14ac:dyDescent="0.25">
      <c r="A839" t="s">
        <v>127</v>
      </c>
      <c r="B839" s="2">
        <v>45727</v>
      </c>
      <c r="C839">
        <v>6</v>
      </c>
      <c r="D839" t="s">
        <v>55</v>
      </c>
    </row>
    <row r="840" spans="1:4" x14ac:dyDescent="0.25">
      <c r="A840" t="s">
        <v>111</v>
      </c>
      <c r="B840" s="2">
        <v>45728</v>
      </c>
      <c r="C840">
        <v>6</v>
      </c>
      <c r="D840" t="s">
        <v>55</v>
      </c>
    </row>
    <row r="841" spans="1:4" x14ac:dyDescent="0.25">
      <c r="A841" t="s">
        <v>383</v>
      </c>
      <c r="B841" s="2">
        <v>45729</v>
      </c>
      <c r="C841">
        <v>6</v>
      </c>
      <c r="D841" t="s">
        <v>55</v>
      </c>
    </row>
    <row r="842" spans="1:4" x14ac:dyDescent="0.25">
      <c r="A842" t="s">
        <v>109</v>
      </c>
      <c r="B842" s="2">
        <v>45730</v>
      </c>
      <c r="C842">
        <v>6</v>
      </c>
      <c r="D842" t="s">
        <v>55</v>
      </c>
    </row>
    <row r="843" spans="1:4" x14ac:dyDescent="0.25">
      <c r="A843" t="s">
        <v>381</v>
      </c>
      <c r="B843" s="2">
        <v>45723</v>
      </c>
      <c r="C843">
        <v>7.2</v>
      </c>
      <c r="D843" t="s">
        <v>55</v>
      </c>
    </row>
    <row r="844" spans="1:4" x14ac:dyDescent="0.25">
      <c r="A844" t="s">
        <v>97</v>
      </c>
      <c r="B844" s="2">
        <v>45723</v>
      </c>
      <c r="C844">
        <v>7.2</v>
      </c>
      <c r="D844" t="s">
        <v>55</v>
      </c>
    </row>
    <row r="845" spans="1:4" x14ac:dyDescent="0.25">
      <c r="A845" t="s">
        <v>147</v>
      </c>
      <c r="B845" s="2">
        <v>45726</v>
      </c>
      <c r="C845">
        <v>7.2</v>
      </c>
      <c r="D845" t="s">
        <v>55</v>
      </c>
    </row>
    <row r="846" spans="1:4" x14ac:dyDescent="0.25">
      <c r="A846" t="s">
        <v>129</v>
      </c>
      <c r="B846" s="2">
        <v>45727</v>
      </c>
      <c r="C846">
        <v>7.2</v>
      </c>
      <c r="D846" t="s">
        <v>55</v>
      </c>
    </row>
    <row r="847" spans="1:4" x14ac:dyDescent="0.25">
      <c r="A847" t="s">
        <v>376</v>
      </c>
      <c r="B847" s="2">
        <v>45722</v>
      </c>
      <c r="C847">
        <v>6</v>
      </c>
      <c r="D847" t="s">
        <v>55</v>
      </c>
    </row>
    <row r="848" spans="1:4" x14ac:dyDescent="0.25">
      <c r="A848" t="s">
        <v>78</v>
      </c>
      <c r="B848" s="2">
        <v>45723</v>
      </c>
      <c r="C848">
        <v>6</v>
      </c>
      <c r="D848" t="s">
        <v>55</v>
      </c>
    </row>
    <row r="849" spans="1:4" x14ac:dyDescent="0.25">
      <c r="A849" t="s">
        <v>133</v>
      </c>
      <c r="B849" s="2">
        <v>45724</v>
      </c>
      <c r="C849">
        <v>6</v>
      </c>
      <c r="D849" t="s">
        <v>55</v>
      </c>
    </row>
    <row r="850" spans="1:4" x14ac:dyDescent="0.25">
      <c r="A850" t="s">
        <v>103</v>
      </c>
      <c r="B850" s="2">
        <v>45725</v>
      </c>
      <c r="C850">
        <v>6</v>
      </c>
      <c r="D850" t="s">
        <v>55</v>
      </c>
    </row>
    <row r="851" spans="1:4" x14ac:dyDescent="0.25">
      <c r="A851" t="s">
        <v>79</v>
      </c>
      <c r="B851" s="2">
        <v>45726</v>
      </c>
      <c r="C851">
        <v>6</v>
      </c>
      <c r="D851" t="s">
        <v>55</v>
      </c>
    </row>
    <row r="852" spans="1:4" x14ac:dyDescent="0.25">
      <c r="A852" t="s">
        <v>130</v>
      </c>
      <c r="B852" s="2">
        <v>45727</v>
      </c>
      <c r="C852">
        <v>6</v>
      </c>
      <c r="D852" t="s">
        <v>55</v>
      </c>
    </row>
    <row r="853" spans="1:4" x14ac:dyDescent="0.25">
      <c r="A853" t="s">
        <v>84</v>
      </c>
      <c r="B853" s="2">
        <v>45728</v>
      </c>
      <c r="C853">
        <v>6</v>
      </c>
      <c r="D853" t="s">
        <v>55</v>
      </c>
    </row>
    <row r="854" spans="1:4" x14ac:dyDescent="0.25">
      <c r="A854" t="s">
        <v>80</v>
      </c>
      <c r="B854" s="2">
        <v>45729</v>
      </c>
      <c r="C854">
        <v>6</v>
      </c>
      <c r="D854" t="s">
        <v>55</v>
      </c>
    </row>
    <row r="855" spans="1:4" x14ac:dyDescent="0.25">
      <c r="A855" t="s">
        <v>93</v>
      </c>
      <c r="B855" s="2">
        <v>45730</v>
      </c>
      <c r="C855">
        <v>6</v>
      </c>
      <c r="D855" t="s">
        <v>55</v>
      </c>
    </row>
    <row r="856" spans="1:4" x14ac:dyDescent="0.25">
      <c r="A856" t="s">
        <v>113</v>
      </c>
      <c r="B856" s="2">
        <v>45731</v>
      </c>
      <c r="C856">
        <v>6</v>
      </c>
      <c r="D856" t="s">
        <v>55</v>
      </c>
    </row>
    <row r="857" spans="1:4" x14ac:dyDescent="0.25">
      <c r="A857" t="s">
        <v>86</v>
      </c>
      <c r="B857" s="2">
        <v>45732</v>
      </c>
      <c r="C857">
        <v>6</v>
      </c>
      <c r="D857" t="s">
        <v>55</v>
      </c>
    </row>
    <row r="858" spans="1:4" x14ac:dyDescent="0.25">
      <c r="A858" t="s">
        <v>132</v>
      </c>
      <c r="B858" s="2">
        <v>45733</v>
      </c>
      <c r="C858">
        <v>6</v>
      </c>
      <c r="D858" t="s">
        <v>55</v>
      </c>
    </row>
    <row r="859" spans="1:4" x14ac:dyDescent="0.25">
      <c r="A859" t="s">
        <v>82</v>
      </c>
      <c r="B859" s="2">
        <v>45734</v>
      </c>
      <c r="C859">
        <v>6</v>
      </c>
      <c r="D859" t="s">
        <v>55</v>
      </c>
    </row>
    <row r="860" spans="1:4" x14ac:dyDescent="0.25">
      <c r="A860" t="s">
        <v>79</v>
      </c>
      <c r="B860" s="2">
        <v>45720</v>
      </c>
      <c r="C860">
        <v>6</v>
      </c>
      <c r="D860" t="s">
        <v>55</v>
      </c>
    </row>
    <row r="861" spans="1:4" x14ac:dyDescent="0.25">
      <c r="A861" t="s">
        <v>381</v>
      </c>
      <c r="B861" s="2">
        <v>45721</v>
      </c>
      <c r="C861">
        <v>6</v>
      </c>
      <c r="D861" t="s">
        <v>55</v>
      </c>
    </row>
    <row r="862" spans="1:4" x14ac:dyDescent="0.25">
      <c r="A862" t="s">
        <v>117</v>
      </c>
      <c r="B862" s="2">
        <v>45722</v>
      </c>
      <c r="C862">
        <v>6</v>
      </c>
      <c r="D862" t="s">
        <v>55</v>
      </c>
    </row>
    <row r="863" spans="1:4" x14ac:dyDescent="0.25">
      <c r="A863" t="s">
        <v>387</v>
      </c>
      <c r="B863" s="2">
        <v>45723</v>
      </c>
      <c r="C863">
        <v>6</v>
      </c>
      <c r="D863" t="s">
        <v>55</v>
      </c>
    </row>
    <row r="864" spans="1:4" x14ac:dyDescent="0.25">
      <c r="A864" t="s">
        <v>105</v>
      </c>
      <c r="B864" s="2">
        <v>45724</v>
      </c>
      <c r="C864">
        <v>6</v>
      </c>
      <c r="D864" t="s">
        <v>55</v>
      </c>
    </row>
    <row r="865" spans="1:4" x14ac:dyDescent="0.25">
      <c r="A865" t="s">
        <v>90</v>
      </c>
      <c r="B865" s="2">
        <v>45725</v>
      </c>
      <c r="C865">
        <v>6</v>
      </c>
      <c r="D865" t="s">
        <v>55</v>
      </c>
    </row>
    <row r="866" spans="1:4" x14ac:dyDescent="0.25">
      <c r="A866" t="s">
        <v>137</v>
      </c>
      <c r="B866" s="2">
        <v>45726</v>
      </c>
      <c r="C866">
        <v>6</v>
      </c>
      <c r="D866" t="s">
        <v>55</v>
      </c>
    </row>
    <row r="867" spans="1:4" x14ac:dyDescent="0.25">
      <c r="A867" t="s">
        <v>95</v>
      </c>
      <c r="B867" s="2">
        <v>45727</v>
      </c>
      <c r="C867">
        <v>6</v>
      </c>
      <c r="D867" t="s">
        <v>55</v>
      </c>
    </row>
    <row r="868" spans="1:4" x14ac:dyDescent="0.25">
      <c r="A868" t="s">
        <v>75</v>
      </c>
      <c r="B868" s="2">
        <v>45728</v>
      </c>
      <c r="C868">
        <v>6</v>
      </c>
      <c r="D868" t="s">
        <v>55</v>
      </c>
    </row>
    <row r="869" spans="1:4" x14ac:dyDescent="0.25">
      <c r="A869" t="s">
        <v>135</v>
      </c>
      <c r="B869" s="2">
        <v>45729</v>
      </c>
      <c r="C869">
        <v>6</v>
      </c>
      <c r="D869" t="s">
        <v>55</v>
      </c>
    </row>
    <row r="870" spans="1:4" x14ac:dyDescent="0.25">
      <c r="A870" t="s">
        <v>83</v>
      </c>
      <c r="B870" s="2">
        <v>45730</v>
      </c>
      <c r="C870">
        <v>6</v>
      </c>
      <c r="D870" t="s">
        <v>55</v>
      </c>
    </row>
    <row r="871" spans="1:4" x14ac:dyDescent="0.25">
      <c r="A871" t="s">
        <v>383</v>
      </c>
      <c r="B871" s="2">
        <v>45731</v>
      </c>
      <c r="C871">
        <v>6</v>
      </c>
      <c r="D871" t="s">
        <v>55</v>
      </c>
    </row>
    <row r="872" spans="1:4" x14ac:dyDescent="0.25">
      <c r="A872" t="s">
        <v>117</v>
      </c>
      <c r="B872" s="2">
        <v>45732</v>
      </c>
      <c r="C872">
        <v>6</v>
      </c>
      <c r="D872" t="s">
        <v>55</v>
      </c>
    </row>
    <row r="873" spans="1:4" x14ac:dyDescent="0.25">
      <c r="A873" t="s">
        <v>127</v>
      </c>
      <c r="B873" s="2">
        <v>45733</v>
      </c>
      <c r="C873">
        <v>6</v>
      </c>
      <c r="D873" t="s">
        <v>55</v>
      </c>
    </row>
    <row r="874" spans="1:4" x14ac:dyDescent="0.25">
      <c r="A874" t="s">
        <v>93</v>
      </c>
      <c r="B874" s="2">
        <v>45734</v>
      </c>
      <c r="C874">
        <v>6</v>
      </c>
      <c r="D874" t="s">
        <v>55</v>
      </c>
    </row>
    <row r="875" spans="1:4" x14ac:dyDescent="0.25">
      <c r="A875" t="s">
        <v>80</v>
      </c>
      <c r="B875" s="2">
        <v>45735</v>
      </c>
      <c r="C875">
        <v>6</v>
      </c>
      <c r="D875" t="s">
        <v>55</v>
      </c>
    </row>
    <row r="876" spans="1:4" x14ac:dyDescent="0.25">
      <c r="A876" t="s">
        <v>126</v>
      </c>
      <c r="B876" s="2">
        <v>45733</v>
      </c>
      <c r="C876">
        <v>7</v>
      </c>
      <c r="D876" t="s">
        <v>55</v>
      </c>
    </row>
    <row r="877" spans="1:4" x14ac:dyDescent="0.25">
      <c r="A877" t="s">
        <v>81</v>
      </c>
      <c r="B877" s="2">
        <v>45734</v>
      </c>
      <c r="C877">
        <v>7.2</v>
      </c>
      <c r="D877" t="s">
        <v>55</v>
      </c>
    </row>
    <row r="878" spans="1:4" x14ac:dyDescent="0.25">
      <c r="A878" t="s">
        <v>140</v>
      </c>
      <c r="B878" s="2">
        <v>45735</v>
      </c>
      <c r="C878">
        <v>6</v>
      </c>
      <c r="D878" t="s">
        <v>55</v>
      </c>
    </row>
    <row r="879" spans="1:4" x14ac:dyDescent="0.25">
      <c r="A879" t="s">
        <v>108</v>
      </c>
      <c r="B879" s="2">
        <v>45736</v>
      </c>
      <c r="C879">
        <v>7</v>
      </c>
      <c r="D879" t="s">
        <v>55</v>
      </c>
    </row>
    <row r="880" spans="1:4" x14ac:dyDescent="0.25">
      <c r="A880" t="s">
        <v>79</v>
      </c>
      <c r="B880" s="2">
        <v>45737</v>
      </c>
      <c r="C880">
        <v>7</v>
      </c>
      <c r="D880" t="s">
        <v>55</v>
      </c>
    </row>
    <row r="881" spans="1:4" x14ac:dyDescent="0.25">
      <c r="A881" t="s">
        <v>136</v>
      </c>
      <c r="B881" s="2">
        <v>45738</v>
      </c>
      <c r="C881">
        <v>7</v>
      </c>
      <c r="D881" t="s">
        <v>55</v>
      </c>
    </row>
    <row r="882" spans="1:4" x14ac:dyDescent="0.25">
      <c r="A882" t="s">
        <v>113</v>
      </c>
      <c r="B882" s="2">
        <v>45739</v>
      </c>
      <c r="C882">
        <v>7.2</v>
      </c>
      <c r="D882" t="s">
        <v>55</v>
      </c>
    </row>
    <row r="883" spans="1:4" x14ac:dyDescent="0.25">
      <c r="A883" t="s">
        <v>78</v>
      </c>
      <c r="B883" s="2">
        <v>45740</v>
      </c>
      <c r="C883">
        <v>6</v>
      </c>
      <c r="D883" t="s">
        <v>55</v>
      </c>
    </row>
    <row r="884" spans="1:4" x14ac:dyDescent="0.25">
      <c r="A884" t="s">
        <v>106</v>
      </c>
      <c r="B884" s="2">
        <v>45741</v>
      </c>
      <c r="C884">
        <v>6</v>
      </c>
      <c r="D884" t="s">
        <v>55</v>
      </c>
    </row>
    <row r="885" spans="1:4" x14ac:dyDescent="0.25">
      <c r="A885" t="s">
        <v>376</v>
      </c>
      <c r="B885" s="2">
        <v>45742</v>
      </c>
      <c r="C885">
        <v>7</v>
      </c>
      <c r="D885" t="s">
        <v>55</v>
      </c>
    </row>
    <row r="886" spans="1:4" x14ac:dyDescent="0.25">
      <c r="A886" t="s">
        <v>109</v>
      </c>
      <c r="B886" s="2">
        <v>45743</v>
      </c>
      <c r="C886">
        <v>7</v>
      </c>
      <c r="D886" t="s">
        <v>55</v>
      </c>
    </row>
    <row r="887" spans="1:4" x14ac:dyDescent="0.25">
      <c r="A887" t="s">
        <v>145</v>
      </c>
      <c r="B887" s="2">
        <v>45744</v>
      </c>
      <c r="C887">
        <v>7.2</v>
      </c>
      <c r="D887" t="s">
        <v>55</v>
      </c>
    </row>
    <row r="888" spans="1:4" x14ac:dyDescent="0.25">
      <c r="A888" t="s">
        <v>143</v>
      </c>
      <c r="B888" s="2">
        <v>45747</v>
      </c>
      <c r="C888">
        <v>7</v>
      </c>
      <c r="D888" t="s">
        <v>55</v>
      </c>
    </row>
    <row r="889" spans="1:4" x14ac:dyDescent="0.25">
      <c r="A889" t="s">
        <v>104</v>
      </c>
      <c r="B889" s="2">
        <v>45719</v>
      </c>
      <c r="C889">
        <v>7.2</v>
      </c>
      <c r="D889" t="s">
        <v>55</v>
      </c>
    </row>
    <row r="890" spans="1:4" x14ac:dyDescent="0.25">
      <c r="A890" t="s">
        <v>141</v>
      </c>
      <c r="B890" s="2">
        <v>45720</v>
      </c>
      <c r="C890">
        <v>7.2</v>
      </c>
      <c r="D890" t="s">
        <v>55</v>
      </c>
    </row>
    <row r="891" spans="1:4" x14ac:dyDescent="0.25">
      <c r="A891" t="s">
        <v>382</v>
      </c>
      <c r="B891" s="2">
        <v>45720</v>
      </c>
      <c r="C891">
        <v>6</v>
      </c>
      <c r="D891" t="s">
        <v>55</v>
      </c>
    </row>
    <row r="892" spans="1:4" x14ac:dyDescent="0.25">
      <c r="A892" t="s">
        <v>83</v>
      </c>
      <c r="B892" s="2">
        <v>45722</v>
      </c>
      <c r="C892">
        <v>7.2</v>
      </c>
      <c r="D892" t="s">
        <v>55</v>
      </c>
    </row>
    <row r="893" spans="1:4" x14ac:dyDescent="0.25">
      <c r="A893" t="s">
        <v>103</v>
      </c>
      <c r="B893" s="2">
        <v>45723</v>
      </c>
      <c r="C893">
        <v>7.2</v>
      </c>
      <c r="D893" t="s">
        <v>55</v>
      </c>
    </row>
    <row r="894" spans="1:4" x14ac:dyDescent="0.25">
      <c r="A894" t="s">
        <v>98</v>
      </c>
      <c r="B894" s="2">
        <v>45726</v>
      </c>
      <c r="C894">
        <v>7.2</v>
      </c>
      <c r="D894" t="s">
        <v>55</v>
      </c>
    </row>
    <row r="895" spans="1:4" x14ac:dyDescent="0.25">
      <c r="A895" t="s">
        <v>145</v>
      </c>
      <c r="B895" s="2">
        <v>45727</v>
      </c>
      <c r="C895">
        <v>7.2</v>
      </c>
      <c r="D895" t="s">
        <v>55</v>
      </c>
    </row>
    <row r="896" spans="1:4" x14ac:dyDescent="0.25">
      <c r="A896" t="s">
        <v>105</v>
      </c>
      <c r="B896" s="2">
        <v>45728</v>
      </c>
      <c r="C896">
        <v>7.2</v>
      </c>
      <c r="D896" t="s">
        <v>55</v>
      </c>
    </row>
    <row r="897" spans="1:4" x14ac:dyDescent="0.25">
      <c r="A897" t="s">
        <v>103</v>
      </c>
      <c r="B897" s="2">
        <v>45729</v>
      </c>
      <c r="C897">
        <v>7.2</v>
      </c>
      <c r="D897" t="s">
        <v>55</v>
      </c>
    </row>
    <row r="898" spans="1:4" x14ac:dyDescent="0.25">
      <c r="A898" t="s">
        <v>104</v>
      </c>
      <c r="B898" s="2">
        <v>45730</v>
      </c>
      <c r="C898">
        <v>7.2</v>
      </c>
      <c r="D898" t="s">
        <v>55</v>
      </c>
    </row>
    <row r="899" spans="1:4" x14ac:dyDescent="0.25">
      <c r="A899" t="s">
        <v>73</v>
      </c>
      <c r="B899" s="2">
        <v>45717</v>
      </c>
      <c r="C899">
        <v>6</v>
      </c>
      <c r="D899" t="s">
        <v>55</v>
      </c>
    </row>
    <row r="900" spans="1:4" x14ac:dyDescent="0.25">
      <c r="A900" t="s">
        <v>80</v>
      </c>
      <c r="B900" s="2">
        <v>45718</v>
      </c>
      <c r="C900">
        <v>6</v>
      </c>
      <c r="D900" t="s">
        <v>55</v>
      </c>
    </row>
    <row r="901" spans="1:4" x14ac:dyDescent="0.25">
      <c r="A901" t="s">
        <v>108</v>
      </c>
      <c r="B901" s="2">
        <v>45719</v>
      </c>
      <c r="C901">
        <v>6</v>
      </c>
      <c r="D901" t="s">
        <v>55</v>
      </c>
    </row>
    <row r="902" spans="1:4" x14ac:dyDescent="0.25">
      <c r="A902" t="s">
        <v>96</v>
      </c>
      <c r="B902" s="2">
        <v>45720</v>
      </c>
      <c r="C902">
        <v>6</v>
      </c>
      <c r="D902" t="s">
        <v>55</v>
      </c>
    </row>
    <row r="903" spans="1:4" x14ac:dyDescent="0.25">
      <c r="A903" t="s">
        <v>71</v>
      </c>
      <c r="B903" s="2">
        <v>45721</v>
      </c>
      <c r="C903">
        <v>6</v>
      </c>
      <c r="D903" t="s">
        <v>55</v>
      </c>
    </row>
    <row r="904" spans="1:4" x14ac:dyDescent="0.25">
      <c r="A904" t="s">
        <v>386</v>
      </c>
      <c r="B904" s="2">
        <v>45722</v>
      </c>
      <c r="C904">
        <v>6</v>
      </c>
      <c r="D904" t="s">
        <v>55</v>
      </c>
    </row>
    <row r="905" spans="1:4" x14ac:dyDescent="0.25">
      <c r="A905" t="s">
        <v>387</v>
      </c>
      <c r="B905" s="2">
        <v>45723</v>
      </c>
      <c r="C905">
        <v>6</v>
      </c>
      <c r="D905" t="s">
        <v>55</v>
      </c>
    </row>
    <row r="906" spans="1:4" x14ac:dyDescent="0.25">
      <c r="A906" t="s">
        <v>146</v>
      </c>
      <c r="B906" s="2">
        <v>45729</v>
      </c>
      <c r="C906">
        <v>7.2</v>
      </c>
      <c r="D906" t="s">
        <v>55</v>
      </c>
    </row>
    <row r="907" spans="1:4" x14ac:dyDescent="0.25">
      <c r="A907" t="s">
        <v>376</v>
      </c>
      <c r="B907" s="2">
        <v>45726</v>
      </c>
      <c r="C907">
        <v>7.2</v>
      </c>
      <c r="D907" t="s">
        <v>55</v>
      </c>
    </row>
    <row r="908" spans="1:4" x14ac:dyDescent="0.25">
      <c r="A908" t="s">
        <v>102</v>
      </c>
      <c r="B908" s="2">
        <v>45727</v>
      </c>
      <c r="C908">
        <v>7.2</v>
      </c>
      <c r="D908" t="s">
        <v>55</v>
      </c>
    </row>
    <row r="909" spans="1:4" x14ac:dyDescent="0.25">
      <c r="A909" t="s">
        <v>141</v>
      </c>
      <c r="B909" s="2">
        <v>45728</v>
      </c>
      <c r="C909">
        <v>7.2</v>
      </c>
      <c r="D909" t="s">
        <v>55</v>
      </c>
    </row>
    <row r="910" spans="1:4" x14ac:dyDescent="0.25">
      <c r="A910" t="s">
        <v>136</v>
      </c>
      <c r="B910" s="2">
        <v>45729</v>
      </c>
      <c r="C910">
        <v>7.2</v>
      </c>
      <c r="D910" t="s">
        <v>55</v>
      </c>
    </row>
    <row r="911" spans="1:4" x14ac:dyDescent="0.25">
      <c r="A911" t="s">
        <v>64</v>
      </c>
      <c r="B911" s="2">
        <v>45717</v>
      </c>
      <c r="C911">
        <v>6</v>
      </c>
      <c r="D911" t="s">
        <v>54</v>
      </c>
    </row>
    <row r="912" spans="1:4" x14ac:dyDescent="0.25">
      <c r="A912" t="s">
        <v>130</v>
      </c>
      <c r="B912" s="2">
        <v>45718</v>
      </c>
      <c r="C912">
        <v>6</v>
      </c>
      <c r="D912" t="s">
        <v>54</v>
      </c>
    </row>
    <row r="913" spans="1:4" x14ac:dyDescent="0.25">
      <c r="A913" t="s">
        <v>378</v>
      </c>
      <c r="B913" s="2">
        <v>45721</v>
      </c>
      <c r="C913">
        <v>6</v>
      </c>
      <c r="D913" t="s">
        <v>54</v>
      </c>
    </row>
    <row r="914" spans="1:4" x14ac:dyDescent="0.25">
      <c r="A914" t="s">
        <v>384</v>
      </c>
      <c r="B914" s="2">
        <v>45723</v>
      </c>
      <c r="C914">
        <v>6</v>
      </c>
      <c r="D914" t="s">
        <v>54</v>
      </c>
    </row>
    <row r="915" spans="1:4" x14ac:dyDescent="0.25">
      <c r="A915" t="s">
        <v>68</v>
      </c>
      <c r="B915" s="2">
        <v>45724</v>
      </c>
      <c r="C915">
        <v>6</v>
      </c>
      <c r="D915" t="s">
        <v>54</v>
      </c>
    </row>
    <row r="916" spans="1:4" x14ac:dyDescent="0.25">
      <c r="A916" t="s">
        <v>378</v>
      </c>
      <c r="B916" s="2">
        <v>45726</v>
      </c>
      <c r="C916">
        <v>6</v>
      </c>
      <c r="D916" t="s">
        <v>54</v>
      </c>
    </row>
    <row r="917" spans="1:4" x14ac:dyDescent="0.25">
      <c r="A917" t="s">
        <v>72</v>
      </c>
      <c r="B917" s="2">
        <v>45727</v>
      </c>
      <c r="C917">
        <v>6</v>
      </c>
      <c r="D917" t="s">
        <v>54</v>
      </c>
    </row>
    <row r="918" spans="1:4" x14ac:dyDescent="0.25">
      <c r="A918" t="s">
        <v>67</v>
      </c>
      <c r="B918" s="2">
        <v>45728</v>
      </c>
      <c r="C918">
        <v>6</v>
      </c>
      <c r="D918" t="s">
        <v>54</v>
      </c>
    </row>
    <row r="919" spans="1:4" x14ac:dyDescent="0.25">
      <c r="A919" t="s">
        <v>112</v>
      </c>
      <c r="B919" s="2">
        <v>45729</v>
      </c>
      <c r="C919">
        <v>6</v>
      </c>
      <c r="D919" t="s">
        <v>54</v>
      </c>
    </row>
    <row r="920" spans="1:4" x14ac:dyDescent="0.25">
      <c r="A920" t="s">
        <v>88</v>
      </c>
      <c r="B920" s="2">
        <v>45731</v>
      </c>
      <c r="C920">
        <v>6</v>
      </c>
      <c r="D920" t="s">
        <v>54</v>
      </c>
    </row>
    <row r="921" spans="1:4" x14ac:dyDescent="0.25">
      <c r="A921" t="s">
        <v>378</v>
      </c>
      <c r="B921" s="2">
        <v>45732</v>
      </c>
      <c r="C921">
        <v>6</v>
      </c>
      <c r="D921" t="s">
        <v>54</v>
      </c>
    </row>
    <row r="922" spans="1:4" x14ac:dyDescent="0.25">
      <c r="A922" t="s">
        <v>114</v>
      </c>
      <c r="B922" s="2">
        <v>45734</v>
      </c>
      <c r="C922">
        <v>6</v>
      </c>
      <c r="D922" t="s">
        <v>54</v>
      </c>
    </row>
    <row r="923" spans="1:4" x14ac:dyDescent="0.25">
      <c r="A923" t="s">
        <v>138</v>
      </c>
      <c r="B923" s="2">
        <v>45737</v>
      </c>
      <c r="C923">
        <v>6</v>
      </c>
      <c r="D923" t="s">
        <v>54</v>
      </c>
    </row>
    <row r="924" spans="1:4" x14ac:dyDescent="0.25">
      <c r="A924" t="s">
        <v>134</v>
      </c>
      <c r="B924" s="2">
        <v>45738</v>
      </c>
      <c r="C924">
        <v>6</v>
      </c>
      <c r="D924" t="s">
        <v>54</v>
      </c>
    </row>
    <row r="925" spans="1:4" x14ac:dyDescent="0.25">
      <c r="A925" t="s">
        <v>127</v>
      </c>
      <c r="B925" s="2">
        <v>45742</v>
      </c>
      <c r="C925">
        <v>6</v>
      </c>
      <c r="D925" t="s">
        <v>54</v>
      </c>
    </row>
    <row r="926" spans="1:4" x14ac:dyDescent="0.25">
      <c r="A926" t="s">
        <v>67</v>
      </c>
      <c r="B926" s="2">
        <v>45743</v>
      </c>
      <c r="C926">
        <v>6</v>
      </c>
      <c r="D926" t="s">
        <v>54</v>
      </c>
    </row>
    <row r="927" spans="1:4" x14ac:dyDescent="0.25">
      <c r="A927" t="s">
        <v>72</v>
      </c>
      <c r="B927" s="2">
        <v>45745</v>
      </c>
      <c r="C927">
        <v>6</v>
      </c>
      <c r="D927" t="s">
        <v>54</v>
      </c>
    </row>
    <row r="928" spans="1:4" x14ac:dyDescent="0.25">
      <c r="A928" t="s">
        <v>118</v>
      </c>
      <c r="B928" s="2">
        <v>45746</v>
      </c>
      <c r="C928">
        <v>6</v>
      </c>
      <c r="D928" t="s">
        <v>54</v>
      </c>
    </row>
    <row r="929" spans="1:4" x14ac:dyDescent="0.25">
      <c r="A929" t="s">
        <v>122</v>
      </c>
      <c r="B929" s="2">
        <v>45747</v>
      </c>
      <c r="C929">
        <v>6</v>
      </c>
      <c r="D929" t="s">
        <v>54</v>
      </c>
    </row>
    <row r="930" spans="1:4" x14ac:dyDescent="0.25">
      <c r="A930" t="s">
        <v>386</v>
      </c>
      <c r="B930" s="2">
        <v>45740</v>
      </c>
      <c r="C930">
        <v>7.2</v>
      </c>
      <c r="D930" t="s">
        <v>53</v>
      </c>
    </row>
    <row r="931" spans="1:4" x14ac:dyDescent="0.25">
      <c r="A931" t="s">
        <v>77</v>
      </c>
      <c r="B931" s="2">
        <v>45741</v>
      </c>
      <c r="C931">
        <v>7.2</v>
      </c>
      <c r="D931" t="s">
        <v>53</v>
      </c>
    </row>
    <row r="932" spans="1:4" x14ac:dyDescent="0.25">
      <c r="A932" t="s">
        <v>83</v>
      </c>
      <c r="B932" s="2">
        <v>45742</v>
      </c>
      <c r="C932">
        <v>7.2</v>
      </c>
      <c r="D932" t="s">
        <v>53</v>
      </c>
    </row>
    <row r="933" spans="1:4" x14ac:dyDescent="0.25">
      <c r="A933" t="s">
        <v>75</v>
      </c>
      <c r="B933" s="2">
        <v>45717</v>
      </c>
      <c r="C933">
        <v>6</v>
      </c>
      <c r="D933" t="s">
        <v>55</v>
      </c>
    </row>
    <row r="934" spans="1:4" x14ac:dyDescent="0.25">
      <c r="A934" t="s">
        <v>145</v>
      </c>
      <c r="B934" s="2">
        <v>45718</v>
      </c>
      <c r="C934">
        <v>6</v>
      </c>
      <c r="D934" t="s">
        <v>55</v>
      </c>
    </row>
    <row r="935" spans="1:4" x14ac:dyDescent="0.25">
      <c r="A935" t="s">
        <v>104</v>
      </c>
      <c r="B935" s="2">
        <v>45719</v>
      </c>
      <c r="C935">
        <v>6</v>
      </c>
      <c r="D935" t="s">
        <v>55</v>
      </c>
    </row>
    <row r="936" spans="1:4" x14ac:dyDescent="0.25">
      <c r="A936" t="s">
        <v>119</v>
      </c>
      <c r="B936" s="2">
        <v>45720</v>
      </c>
      <c r="C936">
        <v>6</v>
      </c>
      <c r="D936" t="s">
        <v>55</v>
      </c>
    </row>
    <row r="937" spans="1:4" x14ac:dyDescent="0.25">
      <c r="A937" t="s">
        <v>84</v>
      </c>
      <c r="B937" s="2">
        <v>45721</v>
      </c>
      <c r="C937">
        <v>6</v>
      </c>
      <c r="D937" t="s">
        <v>55</v>
      </c>
    </row>
    <row r="938" spans="1:4" x14ac:dyDescent="0.25">
      <c r="A938" t="s">
        <v>138</v>
      </c>
      <c r="B938" s="2">
        <v>45722</v>
      </c>
      <c r="C938">
        <v>6</v>
      </c>
      <c r="D938" t="s">
        <v>55</v>
      </c>
    </row>
    <row r="939" spans="1:4" x14ac:dyDescent="0.25">
      <c r="A939" t="s">
        <v>87</v>
      </c>
      <c r="B939" s="2">
        <v>45723</v>
      </c>
      <c r="C939">
        <v>6</v>
      </c>
      <c r="D939" t="s">
        <v>55</v>
      </c>
    </row>
    <row r="940" spans="1:4" x14ac:dyDescent="0.25">
      <c r="A940" t="s">
        <v>96</v>
      </c>
      <c r="B940" s="2">
        <v>45724</v>
      </c>
      <c r="C940">
        <v>6</v>
      </c>
      <c r="D940" t="s">
        <v>55</v>
      </c>
    </row>
    <row r="941" spans="1:4" x14ac:dyDescent="0.25">
      <c r="A941" t="s">
        <v>113</v>
      </c>
      <c r="B941" s="2">
        <v>45725</v>
      </c>
      <c r="C941">
        <v>6</v>
      </c>
      <c r="D941" t="s">
        <v>55</v>
      </c>
    </row>
    <row r="942" spans="1:4" x14ac:dyDescent="0.25">
      <c r="A942" t="s">
        <v>374</v>
      </c>
      <c r="B942" s="2">
        <v>45726</v>
      </c>
      <c r="C942">
        <v>6</v>
      </c>
      <c r="D942" t="s">
        <v>55</v>
      </c>
    </row>
    <row r="943" spans="1:4" x14ac:dyDescent="0.25">
      <c r="A943" t="s">
        <v>79</v>
      </c>
      <c r="B943" s="2">
        <v>45727</v>
      </c>
      <c r="C943">
        <v>6</v>
      </c>
      <c r="D943" t="s">
        <v>55</v>
      </c>
    </row>
    <row r="944" spans="1:4" x14ac:dyDescent="0.25">
      <c r="A944" t="s">
        <v>81</v>
      </c>
      <c r="B944" s="2">
        <v>45728</v>
      </c>
      <c r="C944">
        <v>6</v>
      </c>
      <c r="D944" t="s">
        <v>55</v>
      </c>
    </row>
    <row r="945" spans="1:4" x14ac:dyDescent="0.25">
      <c r="A945" t="s">
        <v>68</v>
      </c>
      <c r="B945" s="2">
        <v>45729</v>
      </c>
      <c r="C945">
        <v>6</v>
      </c>
      <c r="D945" t="s">
        <v>55</v>
      </c>
    </row>
    <row r="946" spans="1:4" x14ac:dyDescent="0.25">
      <c r="A946" t="s">
        <v>85</v>
      </c>
      <c r="B946" s="2">
        <v>45730</v>
      </c>
      <c r="C946">
        <v>6</v>
      </c>
      <c r="D946" t="s">
        <v>55</v>
      </c>
    </row>
    <row r="947" spans="1:4" x14ac:dyDescent="0.25">
      <c r="A947" t="s">
        <v>143</v>
      </c>
      <c r="B947" s="2">
        <v>45731</v>
      </c>
      <c r="C947">
        <v>6</v>
      </c>
      <c r="D947" t="s">
        <v>55</v>
      </c>
    </row>
    <row r="948" spans="1:4" x14ac:dyDescent="0.25">
      <c r="A948" t="s">
        <v>132</v>
      </c>
      <c r="B948" s="2">
        <v>45732</v>
      </c>
      <c r="C948">
        <v>6</v>
      </c>
      <c r="D948" t="s">
        <v>55</v>
      </c>
    </row>
    <row r="949" spans="1:4" x14ac:dyDescent="0.25">
      <c r="A949" t="s">
        <v>149</v>
      </c>
      <c r="B949" s="2">
        <v>45721</v>
      </c>
      <c r="C949">
        <v>7.2</v>
      </c>
      <c r="D949" t="s">
        <v>55</v>
      </c>
    </row>
    <row r="950" spans="1:4" x14ac:dyDescent="0.25">
      <c r="A950" t="s">
        <v>145</v>
      </c>
      <c r="B950" s="2">
        <v>45722</v>
      </c>
      <c r="C950">
        <v>7.2</v>
      </c>
      <c r="D950" t="s">
        <v>55</v>
      </c>
    </row>
    <row r="951" spans="1:4" x14ac:dyDescent="0.25">
      <c r="A951" t="s">
        <v>120</v>
      </c>
      <c r="B951" s="2">
        <v>45719</v>
      </c>
      <c r="C951">
        <v>7.2</v>
      </c>
      <c r="D951" t="s">
        <v>55</v>
      </c>
    </row>
    <row r="952" spans="1:4" x14ac:dyDescent="0.25">
      <c r="A952" t="s">
        <v>102</v>
      </c>
      <c r="B952" s="2">
        <v>45720</v>
      </c>
      <c r="C952">
        <v>7.2</v>
      </c>
      <c r="D952" t="s">
        <v>55</v>
      </c>
    </row>
    <row r="953" spans="1:4" x14ac:dyDescent="0.25">
      <c r="A953" t="s">
        <v>113</v>
      </c>
      <c r="B953" s="2">
        <v>45721</v>
      </c>
      <c r="C953">
        <v>7.2</v>
      </c>
      <c r="D953" t="s">
        <v>55</v>
      </c>
    </row>
    <row r="954" spans="1:4" x14ac:dyDescent="0.25">
      <c r="A954" t="s">
        <v>80</v>
      </c>
      <c r="B954" s="2">
        <v>45722</v>
      </c>
      <c r="C954">
        <v>7.2</v>
      </c>
      <c r="D954" t="s">
        <v>55</v>
      </c>
    </row>
    <row r="955" spans="1:4" x14ac:dyDescent="0.25">
      <c r="A955" t="s">
        <v>386</v>
      </c>
      <c r="B955" s="2">
        <v>45723</v>
      </c>
      <c r="C955">
        <v>7.2</v>
      </c>
      <c r="D955" t="s">
        <v>55</v>
      </c>
    </row>
    <row r="956" spans="1:4" x14ac:dyDescent="0.25">
      <c r="A956" t="s">
        <v>116</v>
      </c>
      <c r="B956" s="2">
        <v>45720</v>
      </c>
      <c r="C956">
        <v>6</v>
      </c>
      <c r="D956" t="s">
        <v>55</v>
      </c>
    </row>
    <row r="957" spans="1:4" x14ac:dyDescent="0.25">
      <c r="A957" t="s">
        <v>127</v>
      </c>
      <c r="B957" s="2">
        <v>45727</v>
      </c>
      <c r="C957">
        <v>7.2</v>
      </c>
      <c r="D957" t="s">
        <v>55</v>
      </c>
    </row>
    <row r="958" spans="1:4" x14ac:dyDescent="0.25">
      <c r="A958" t="s">
        <v>79</v>
      </c>
      <c r="B958" s="2">
        <v>45728</v>
      </c>
      <c r="C958">
        <v>7.2</v>
      </c>
      <c r="D958" t="s">
        <v>55</v>
      </c>
    </row>
    <row r="959" spans="1:4" x14ac:dyDescent="0.25">
      <c r="A959" t="s">
        <v>83</v>
      </c>
      <c r="B959" s="2">
        <v>45719</v>
      </c>
      <c r="C959">
        <v>7.2</v>
      </c>
      <c r="D959" t="s">
        <v>55</v>
      </c>
    </row>
    <row r="960" spans="1:4" x14ac:dyDescent="0.25">
      <c r="A960" t="s">
        <v>88</v>
      </c>
      <c r="B960" s="2">
        <v>45720</v>
      </c>
      <c r="C960">
        <v>7.2</v>
      </c>
      <c r="D960" t="s">
        <v>55</v>
      </c>
    </row>
    <row r="961" spans="1:4" x14ac:dyDescent="0.25">
      <c r="A961" t="s">
        <v>120</v>
      </c>
      <c r="B961" s="2">
        <v>45721</v>
      </c>
      <c r="C961">
        <v>7.2</v>
      </c>
      <c r="D961" t="s">
        <v>55</v>
      </c>
    </row>
    <row r="962" spans="1:4" x14ac:dyDescent="0.25">
      <c r="A962" t="s">
        <v>136</v>
      </c>
      <c r="B962" s="2">
        <v>45722</v>
      </c>
      <c r="C962">
        <v>7.2</v>
      </c>
      <c r="D962" t="s">
        <v>55</v>
      </c>
    </row>
    <row r="963" spans="1:4" x14ac:dyDescent="0.25">
      <c r="A963" t="s">
        <v>386</v>
      </c>
      <c r="B963" s="2">
        <v>45723</v>
      </c>
      <c r="C963">
        <v>7.2</v>
      </c>
      <c r="D963" t="s">
        <v>55</v>
      </c>
    </row>
    <row r="964" spans="1:4" x14ac:dyDescent="0.25">
      <c r="A964" t="s">
        <v>104</v>
      </c>
      <c r="B964" s="2">
        <v>45721</v>
      </c>
      <c r="C964">
        <v>7.2</v>
      </c>
      <c r="D964" t="s">
        <v>55</v>
      </c>
    </row>
    <row r="965" spans="1:4" x14ac:dyDescent="0.25">
      <c r="A965" t="s">
        <v>83</v>
      </c>
      <c r="B965" s="2">
        <v>45720</v>
      </c>
      <c r="C965">
        <v>7.2</v>
      </c>
      <c r="D965" t="s">
        <v>55</v>
      </c>
    </row>
    <row r="966" spans="1:4" x14ac:dyDescent="0.25">
      <c r="A966" t="s">
        <v>99</v>
      </c>
      <c r="B966" s="2">
        <v>45719</v>
      </c>
      <c r="C966">
        <v>7.2</v>
      </c>
      <c r="D966" t="s">
        <v>55</v>
      </c>
    </row>
    <row r="967" spans="1:4" x14ac:dyDescent="0.25">
      <c r="A967" t="s">
        <v>129</v>
      </c>
      <c r="B967" s="2">
        <v>45720</v>
      </c>
      <c r="C967">
        <v>7.2</v>
      </c>
      <c r="D967" t="s">
        <v>55</v>
      </c>
    </row>
    <row r="968" spans="1:4" x14ac:dyDescent="0.25">
      <c r="A968" t="s">
        <v>375</v>
      </c>
      <c r="B968" s="2">
        <v>45717</v>
      </c>
      <c r="C968">
        <v>6</v>
      </c>
      <c r="D968" t="s">
        <v>55</v>
      </c>
    </row>
    <row r="969" spans="1:4" x14ac:dyDescent="0.25">
      <c r="A969" t="s">
        <v>129</v>
      </c>
      <c r="B969" s="2">
        <v>45718</v>
      </c>
      <c r="C969">
        <v>6</v>
      </c>
      <c r="D969" t="s">
        <v>55</v>
      </c>
    </row>
    <row r="970" spans="1:4" x14ac:dyDescent="0.25">
      <c r="A970" t="s">
        <v>68</v>
      </c>
      <c r="B970" s="2">
        <v>45720</v>
      </c>
      <c r="C970">
        <v>6</v>
      </c>
      <c r="D970" t="s">
        <v>55</v>
      </c>
    </row>
    <row r="971" spans="1:4" x14ac:dyDescent="0.25">
      <c r="A971" t="s">
        <v>66</v>
      </c>
      <c r="B971" s="2">
        <v>45721</v>
      </c>
      <c r="C971">
        <v>6</v>
      </c>
      <c r="D971" t="s">
        <v>55</v>
      </c>
    </row>
    <row r="972" spans="1:4" x14ac:dyDescent="0.25">
      <c r="A972" t="s">
        <v>88</v>
      </c>
      <c r="B972" s="2">
        <v>45722</v>
      </c>
      <c r="C972">
        <v>6</v>
      </c>
      <c r="D972" t="s">
        <v>55</v>
      </c>
    </row>
    <row r="973" spans="1:4" x14ac:dyDescent="0.25">
      <c r="A973" t="s">
        <v>96</v>
      </c>
      <c r="B973" s="2">
        <v>45723</v>
      </c>
      <c r="C973">
        <v>6</v>
      </c>
      <c r="D973" t="s">
        <v>55</v>
      </c>
    </row>
    <row r="974" spans="1:4" x14ac:dyDescent="0.25">
      <c r="A974" t="s">
        <v>142</v>
      </c>
      <c r="B974" s="2">
        <v>45724</v>
      </c>
      <c r="C974">
        <v>6</v>
      </c>
      <c r="D974" t="s">
        <v>55</v>
      </c>
    </row>
    <row r="975" spans="1:4" x14ac:dyDescent="0.25">
      <c r="A975" t="s">
        <v>89</v>
      </c>
      <c r="B975" s="2">
        <v>45725</v>
      </c>
      <c r="C975">
        <v>6</v>
      </c>
      <c r="D975" t="s">
        <v>55</v>
      </c>
    </row>
    <row r="976" spans="1:4" x14ac:dyDescent="0.25">
      <c r="A976" t="s">
        <v>132</v>
      </c>
      <c r="B976" s="2">
        <v>45726</v>
      </c>
      <c r="C976">
        <v>6</v>
      </c>
      <c r="D976" t="s">
        <v>55</v>
      </c>
    </row>
    <row r="977" spans="1:4" x14ac:dyDescent="0.25">
      <c r="A977" t="s">
        <v>68</v>
      </c>
      <c r="B977" s="2">
        <v>45727</v>
      </c>
      <c r="C977">
        <v>6</v>
      </c>
      <c r="D977" t="s">
        <v>55</v>
      </c>
    </row>
    <row r="978" spans="1:4" x14ac:dyDescent="0.25">
      <c r="A978" t="s">
        <v>374</v>
      </c>
      <c r="B978" s="2">
        <v>45728</v>
      </c>
      <c r="C978">
        <v>6</v>
      </c>
      <c r="D978" t="s">
        <v>55</v>
      </c>
    </row>
    <row r="979" spans="1:4" x14ac:dyDescent="0.25">
      <c r="A979" t="s">
        <v>134</v>
      </c>
      <c r="B979" s="2">
        <v>45729</v>
      </c>
      <c r="C979">
        <v>6</v>
      </c>
      <c r="D979" t="s">
        <v>55</v>
      </c>
    </row>
    <row r="980" spans="1:4" x14ac:dyDescent="0.25">
      <c r="A980" t="s">
        <v>104</v>
      </c>
      <c r="B980" s="2">
        <v>45730</v>
      </c>
      <c r="C980">
        <v>6</v>
      </c>
      <c r="D980" t="s">
        <v>55</v>
      </c>
    </row>
    <row r="981" spans="1:4" x14ac:dyDescent="0.25">
      <c r="A981" t="s">
        <v>88</v>
      </c>
      <c r="B981" s="2">
        <v>45731</v>
      </c>
      <c r="C981">
        <v>6</v>
      </c>
      <c r="D981" t="s">
        <v>55</v>
      </c>
    </row>
    <row r="982" spans="1:4" x14ac:dyDescent="0.25">
      <c r="A982" t="s">
        <v>128</v>
      </c>
      <c r="B982" s="2">
        <v>45732</v>
      </c>
      <c r="C982">
        <v>6</v>
      </c>
      <c r="D982" t="s">
        <v>55</v>
      </c>
    </row>
    <row r="983" spans="1:4" x14ac:dyDescent="0.25">
      <c r="A983" t="s">
        <v>380</v>
      </c>
      <c r="B983" s="2">
        <v>45733</v>
      </c>
      <c r="C983">
        <v>6</v>
      </c>
      <c r="D983" t="s">
        <v>55</v>
      </c>
    </row>
    <row r="984" spans="1:4" x14ac:dyDescent="0.25">
      <c r="A984" t="s">
        <v>147</v>
      </c>
      <c r="B984" s="2">
        <v>45719</v>
      </c>
      <c r="C984">
        <v>6</v>
      </c>
      <c r="D984" t="s">
        <v>55</v>
      </c>
    </row>
    <row r="985" spans="1:4" x14ac:dyDescent="0.25">
      <c r="A985" t="s">
        <v>72</v>
      </c>
      <c r="B985" s="2">
        <v>45720</v>
      </c>
      <c r="C985">
        <v>6</v>
      </c>
      <c r="D985" t="s">
        <v>55</v>
      </c>
    </row>
    <row r="986" spans="1:4" x14ac:dyDescent="0.25">
      <c r="A986" t="s">
        <v>69</v>
      </c>
      <c r="B986" s="2">
        <v>45721</v>
      </c>
      <c r="C986">
        <v>6</v>
      </c>
      <c r="D986" t="s">
        <v>55</v>
      </c>
    </row>
    <row r="987" spans="1:4" x14ac:dyDescent="0.25">
      <c r="A987" t="s">
        <v>134</v>
      </c>
      <c r="B987" s="2">
        <v>45722</v>
      </c>
      <c r="C987">
        <v>6</v>
      </c>
      <c r="D987" t="s">
        <v>55</v>
      </c>
    </row>
    <row r="988" spans="1:4" x14ac:dyDescent="0.25">
      <c r="A988" t="s">
        <v>143</v>
      </c>
      <c r="B988" s="2">
        <v>45719</v>
      </c>
      <c r="C988">
        <v>7.2</v>
      </c>
      <c r="D988" t="s">
        <v>55</v>
      </c>
    </row>
    <row r="989" spans="1:4" x14ac:dyDescent="0.25">
      <c r="A989" t="s">
        <v>111</v>
      </c>
      <c r="B989" s="2">
        <v>45720</v>
      </c>
      <c r="C989">
        <v>7.2</v>
      </c>
      <c r="D989" t="s">
        <v>55</v>
      </c>
    </row>
    <row r="990" spans="1:4" x14ac:dyDescent="0.25">
      <c r="A990" t="s">
        <v>109</v>
      </c>
      <c r="B990" s="2">
        <v>45733</v>
      </c>
      <c r="C990">
        <v>7.2</v>
      </c>
      <c r="D990" t="s">
        <v>55</v>
      </c>
    </row>
    <row r="991" spans="1:4" x14ac:dyDescent="0.25">
      <c r="A991" t="s">
        <v>123</v>
      </c>
      <c r="B991" s="2">
        <v>45719</v>
      </c>
      <c r="C991">
        <v>7.2</v>
      </c>
      <c r="D991" t="s">
        <v>55</v>
      </c>
    </row>
    <row r="992" spans="1:4" x14ac:dyDescent="0.25">
      <c r="A992" t="s">
        <v>77</v>
      </c>
      <c r="B992" s="2">
        <v>45727</v>
      </c>
      <c r="C992">
        <v>7.2</v>
      </c>
      <c r="D992" t="s">
        <v>55</v>
      </c>
    </row>
    <row r="993" spans="1:4" x14ac:dyDescent="0.25">
      <c r="A993" t="s">
        <v>68</v>
      </c>
      <c r="B993" s="2">
        <v>45726</v>
      </c>
      <c r="C993">
        <v>7.2</v>
      </c>
      <c r="D993" t="s">
        <v>55</v>
      </c>
    </row>
    <row r="994" spans="1:4" x14ac:dyDescent="0.25">
      <c r="A994" t="s">
        <v>103</v>
      </c>
      <c r="B994" s="2">
        <v>45722</v>
      </c>
      <c r="C994">
        <v>7.2</v>
      </c>
      <c r="D994" t="s">
        <v>55</v>
      </c>
    </row>
    <row r="995" spans="1:4" x14ac:dyDescent="0.25">
      <c r="A995" t="s">
        <v>101</v>
      </c>
      <c r="B995" s="2">
        <v>45721</v>
      </c>
      <c r="C995">
        <v>7.2</v>
      </c>
      <c r="D995" t="s">
        <v>55</v>
      </c>
    </row>
    <row r="996" spans="1:4" x14ac:dyDescent="0.25">
      <c r="A996" t="s">
        <v>136</v>
      </c>
      <c r="B996" s="2">
        <v>45722</v>
      </c>
      <c r="C996">
        <v>7.2</v>
      </c>
      <c r="D996" t="s">
        <v>55</v>
      </c>
    </row>
    <row r="997" spans="1:4" x14ac:dyDescent="0.25">
      <c r="B997" s="2"/>
      <c r="C997" s="1"/>
    </row>
    <row r="998" spans="1:4" x14ac:dyDescent="0.25">
      <c r="B998" s="2"/>
      <c r="C998" s="1"/>
    </row>
    <row r="999" spans="1:4" x14ac:dyDescent="0.25">
      <c r="B999" s="2"/>
      <c r="C999" s="1"/>
    </row>
    <row r="1000" spans="1:4" x14ac:dyDescent="0.25">
      <c r="B1000" s="2"/>
      <c r="C1000" s="1"/>
    </row>
    <row r="1001" spans="1:4" x14ac:dyDescent="0.25">
      <c r="B1001" s="2"/>
      <c r="C1001" s="1"/>
    </row>
    <row r="1002" spans="1:4" x14ac:dyDescent="0.25">
      <c r="B1002" s="2"/>
      <c r="C1002" s="1"/>
    </row>
    <row r="1003" spans="1:4" x14ac:dyDescent="0.25">
      <c r="B1003" s="2"/>
      <c r="C1003" s="1"/>
    </row>
    <row r="1004" spans="1:4" x14ac:dyDescent="0.25">
      <c r="B1004" s="2"/>
      <c r="C1004" s="1"/>
    </row>
    <row r="1005" spans="1:4" x14ac:dyDescent="0.25">
      <c r="B1005" s="2"/>
      <c r="C1005" s="1"/>
    </row>
    <row r="1006" spans="1:4" x14ac:dyDescent="0.25">
      <c r="B1006" s="2"/>
      <c r="C1006" s="1"/>
    </row>
    <row r="1007" spans="1:4" x14ac:dyDescent="0.25">
      <c r="B1007" s="2"/>
      <c r="C1007" s="1"/>
    </row>
    <row r="1008" spans="1:4" x14ac:dyDescent="0.25">
      <c r="B1008" s="2"/>
      <c r="C1008" s="1"/>
    </row>
    <row r="1009" spans="2:3" x14ac:dyDescent="0.25">
      <c r="B1009" s="2"/>
      <c r="C1009" s="1"/>
    </row>
    <row r="1010" spans="2:3" x14ac:dyDescent="0.25">
      <c r="B1010" s="2"/>
      <c r="C1010" s="1"/>
    </row>
    <row r="1011" spans="2:3" x14ac:dyDescent="0.25">
      <c r="B1011" s="2"/>
      <c r="C1011" s="1"/>
    </row>
    <row r="1012" spans="2:3" x14ac:dyDescent="0.25">
      <c r="B1012" s="2"/>
      <c r="C1012" s="1"/>
    </row>
    <row r="1013" spans="2:3" x14ac:dyDescent="0.25">
      <c r="B1013" s="2"/>
      <c r="C1013" s="1"/>
    </row>
    <row r="1014" spans="2:3" x14ac:dyDescent="0.25">
      <c r="B1014" s="2"/>
      <c r="C1014" s="1"/>
    </row>
    <row r="1015" spans="2:3" x14ac:dyDescent="0.25">
      <c r="B1015" s="2"/>
      <c r="C1015" s="1"/>
    </row>
    <row r="1016" spans="2:3" x14ac:dyDescent="0.25">
      <c r="B1016" s="2"/>
      <c r="C1016" s="1"/>
    </row>
    <row r="1017" spans="2:3" x14ac:dyDescent="0.25">
      <c r="B1017" s="2"/>
      <c r="C1017" s="1"/>
    </row>
    <row r="1018" spans="2:3" x14ac:dyDescent="0.25">
      <c r="B1018" s="2"/>
      <c r="C1018" s="1"/>
    </row>
    <row r="1019" spans="2:3" x14ac:dyDescent="0.25">
      <c r="B1019" s="2"/>
      <c r="C1019" s="1"/>
    </row>
    <row r="1020" spans="2:3" x14ac:dyDescent="0.25">
      <c r="B1020" s="2"/>
      <c r="C1020" s="1"/>
    </row>
    <row r="1021" spans="2:3" x14ac:dyDescent="0.25">
      <c r="B1021" s="2"/>
      <c r="C1021" s="1"/>
    </row>
    <row r="1022" spans="2:3" x14ac:dyDescent="0.25">
      <c r="B1022" s="2"/>
      <c r="C1022" s="1"/>
    </row>
    <row r="1023" spans="2:3" x14ac:dyDescent="0.25">
      <c r="B1023" s="2"/>
      <c r="C1023" s="1"/>
    </row>
    <row r="1024" spans="2:3" x14ac:dyDescent="0.25">
      <c r="B1024" s="2"/>
      <c r="C1024" s="1"/>
    </row>
    <row r="1025" spans="2:3" x14ac:dyDescent="0.25">
      <c r="B1025" s="2"/>
      <c r="C1025" s="1"/>
    </row>
    <row r="1026" spans="2:3" x14ac:dyDescent="0.25">
      <c r="B1026" s="2"/>
      <c r="C1026" s="1"/>
    </row>
    <row r="1027" spans="2:3" x14ac:dyDescent="0.25">
      <c r="B1027" s="2"/>
      <c r="C1027" s="1"/>
    </row>
    <row r="1028" spans="2:3" x14ac:dyDescent="0.25">
      <c r="B1028" s="2"/>
      <c r="C1028" s="1"/>
    </row>
    <row r="1029" spans="2:3" x14ac:dyDescent="0.25">
      <c r="B1029" s="2"/>
      <c r="C1029" s="1"/>
    </row>
    <row r="1030" spans="2:3" x14ac:dyDescent="0.25">
      <c r="B1030" s="2"/>
      <c r="C1030" s="1"/>
    </row>
    <row r="1031" spans="2:3" x14ac:dyDescent="0.25">
      <c r="B1031" s="2"/>
      <c r="C1031" s="1"/>
    </row>
    <row r="1032" spans="2:3" x14ac:dyDescent="0.25">
      <c r="B1032" s="2"/>
      <c r="C1032" s="1"/>
    </row>
    <row r="1033" spans="2:3" x14ac:dyDescent="0.25">
      <c r="B1033" s="2"/>
      <c r="C1033" s="1"/>
    </row>
    <row r="1034" spans="2:3" x14ac:dyDescent="0.25">
      <c r="B1034" s="2"/>
      <c r="C1034" s="1"/>
    </row>
    <row r="1035" spans="2:3" x14ac:dyDescent="0.25">
      <c r="B1035" s="2"/>
      <c r="C1035" s="1"/>
    </row>
    <row r="1036" spans="2:3" x14ac:dyDescent="0.25">
      <c r="B1036" s="2"/>
      <c r="C1036" s="1"/>
    </row>
    <row r="1037" spans="2:3" x14ac:dyDescent="0.25">
      <c r="B1037" s="2"/>
      <c r="C1037" s="1"/>
    </row>
    <row r="1038" spans="2:3" x14ac:dyDescent="0.25">
      <c r="B1038" s="2"/>
      <c r="C1038" s="1"/>
    </row>
    <row r="1039" spans="2:3" x14ac:dyDescent="0.25">
      <c r="B1039" s="2"/>
      <c r="C1039" s="1"/>
    </row>
    <row r="1040" spans="2:3" x14ac:dyDescent="0.25">
      <c r="B1040" s="2"/>
      <c r="C1040" s="1"/>
    </row>
    <row r="1041" spans="2:3" x14ac:dyDescent="0.25">
      <c r="B1041" s="2"/>
      <c r="C1041" s="1"/>
    </row>
    <row r="1042" spans="2:3" x14ac:dyDescent="0.25">
      <c r="B1042" s="2"/>
      <c r="C1042" s="1"/>
    </row>
    <row r="1043" spans="2:3" x14ac:dyDescent="0.25">
      <c r="B1043" s="2"/>
      <c r="C1043" s="1"/>
    </row>
    <row r="1044" spans="2:3" x14ac:dyDescent="0.25">
      <c r="B1044" s="2"/>
      <c r="C1044" s="1"/>
    </row>
    <row r="1045" spans="2:3" x14ac:dyDescent="0.25">
      <c r="B1045" s="2"/>
      <c r="C1045" s="1"/>
    </row>
    <row r="1046" spans="2:3" x14ac:dyDescent="0.25">
      <c r="B1046" s="2"/>
      <c r="C1046" s="1"/>
    </row>
    <row r="1047" spans="2:3" x14ac:dyDescent="0.25">
      <c r="B1047" s="2"/>
      <c r="C1047" s="1"/>
    </row>
    <row r="1048" spans="2:3" x14ac:dyDescent="0.25">
      <c r="B1048" s="2"/>
      <c r="C1048" s="1"/>
    </row>
    <row r="1049" spans="2:3" x14ac:dyDescent="0.25">
      <c r="B1049" s="2"/>
      <c r="C1049" s="1"/>
    </row>
    <row r="1050" spans="2:3" x14ac:dyDescent="0.25">
      <c r="B1050" s="2"/>
      <c r="C1050" s="1"/>
    </row>
    <row r="1051" spans="2:3" x14ac:dyDescent="0.25">
      <c r="B1051" s="2"/>
      <c r="C1051" s="1"/>
    </row>
    <row r="1052" spans="2:3" x14ac:dyDescent="0.25">
      <c r="B1052" s="2"/>
      <c r="C1052" s="1"/>
    </row>
    <row r="1053" spans="2:3" x14ac:dyDescent="0.25">
      <c r="B1053" s="2"/>
      <c r="C1053" s="1"/>
    </row>
    <row r="1054" spans="2:3" x14ac:dyDescent="0.25">
      <c r="B1054" s="2"/>
      <c r="C1054" s="1"/>
    </row>
    <row r="1055" spans="2:3" x14ac:dyDescent="0.25">
      <c r="B1055" s="2"/>
      <c r="C1055" s="1"/>
    </row>
    <row r="1056" spans="2:3" x14ac:dyDescent="0.25">
      <c r="B1056" s="2"/>
      <c r="C1056" s="1"/>
    </row>
    <row r="1057" spans="2:3" x14ac:dyDescent="0.25">
      <c r="B1057" s="2"/>
      <c r="C1057" s="1"/>
    </row>
    <row r="1058" spans="2:3" x14ac:dyDescent="0.25">
      <c r="B1058" s="2"/>
      <c r="C1058" s="1"/>
    </row>
    <row r="1059" spans="2:3" x14ac:dyDescent="0.25">
      <c r="B1059" s="2"/>
      <c r="C1059" s="1"/>
    </row>
    <row r="1060" spans="2:3" x14ac:dyDescent="0.25">
      <c r="B1060" s="2"/>
      <c r="C1060" s="1"/>
    </row>
    <row r="1061" spans="2:3" x14ac:dyDescent="0.25">
      <c r="B1061" s="2"/>
      <c r="C1061" s="1"/>
    </row>
    <row r="1062" spans="2:3" x14ac:dyDescent="0.25">
      <c r="B1062" s="2"/>
      <c r="C1062" s="1"/>
    </row>
    <row r="1063" spans="2:3" x14ac:dyDescent="0.25">
      <c r="B1063" s="2"/>
      <c r="C1063" s="1"/>
    </row>
    <row r="1064" spans="2:3" x14ac:dyDescent="0.25">
      <c r="B1064" s="2"/>
      <c r="C1064" s="1"/>
    </row>
    <row r="1065" spans="2:3" x14ac:dyDescent="0.25">
      <c r="B1065" s="2"/>
      <c r="C1065" s="1"/>
    </row>
    <row r="1066" spans="2:3" x14ac:dyDescent="0.25">
      <c r="B1066" s="2"/>
      <c r="C1066" s="1"/>
    </row>
    <row r="1067" spans="2:3" x14ac:dyDescent="0.25">
      <c r="B1067" s="2"/>
      <c r="C1067" s="1"/>
    </row>
    <row r="1068" spans="2:3" x14ac:dyDescent="0.25">
      <c r="B1068" s="2"/>
      <c r="C1068" s="1"/>
    </row>
    <row r="1069" spans="2:3" x14ac:dyDescent="0.25">
      <c r="B1069" s="2"/>
      <c r="C1069" s="1"/>
    </row>
    <row r="1070" spans="2:3" x14ac:dyDescent="0.25">
      <c r="B1070" s="2"/>
      <c r="C1070" s="1"/>
    </row>
    <row r="1071" spans="2:3" x14ac:dyDescent="0.25">
      <c r="B1071" s="2"/>
      <c r="C1071" s="1"/>
    </row>
    <row r="1072" spans="2:3" x14ac:dyDescent="0.25">
      <c r="B1072" s="2"/>
      <c r="C1072" s="1"/>
    </row>
    <row r="1073" spans="2:3" x14ac:dyDescent="0.25">
      <c r="B1073" s="2"/>
      <c r="C1073" s="1"/>
    </row>
    <row r="1074" spans="2:3" x14ac:dyDescent="0.25">
      <c r="B1074" s="2"/>
      <c r="C1074" s="1"/>
    </row>
    <row r="1075" spans="2:3" x14ac:dyDescent="0.25">
      <c r="B1075" s="2"/>
      <c r="C1075" s="1"/>
    </row>
    <row r="1076" spans="2:3" x14ac:dyDescent="0.25">
      <c r="B1076" s="2"/>
      <c r="C1076" s="1"/>
    </row>
    <row r="1077" spans="2:3" x14ac:dyDescent="0.25">
      <c r="B1077" s="2"/>
      <c r="C1077" s="1"/>
    </row>
    <row r="1078" spans="2:3" x14ac:dyDescent="0.25">
      <c r="B1078" s="2"/>
      <c r="C1078" s="1"/>
    </row>
    <row r="1079" spans="2:3" x14ac:dyDescent="0.25">
      <c r="B1079" s="2"/>
      <c r="C1079" s="1"/>
    </row>
    <row r="1080" spans="2:3" x14ac:dyDescent="0.25">
      <c r="B1080" s="2"/>
      <c r="C1080" s="1"/>
    </row>
    <row r="1081" spans="2:3" x14ac:dyDescent="0.25">
      <c r="B1081" s="2"/>
      <c r="C1081" s="1"/>
    </row>
    <row r="1082" spans="2:3" x14ac:dyDescent="0.25">
      <c r="B1082" s="2"/>
      <c r="C1082" s="1"/>
    </row>
    <row r="1083" spans="2:3" x14ac:dyDescent="0.25">
      <c r="B1083" s="2"/>
      <c r="C1083" s="1"/>
    </row>
    <row r="1084" spans="2:3" x14ac:dyDescent="0.25">
      <c r="B1084" s="2"/>
      <c r="C1084" s="1"/>
    </row>
    <row r="1085" spans="2:3" x14ac:dyDescent="0.25">
      <c r="B1085" s="2"/>
      <c r="C1085" s="1"/>
    </row>
    <row r="1086" spans="2:3" x14ac:dyDescent="0.25">
      <c r="B1086" s="2"/>
      <c r="C1086" s="1"/>
    </row>
    <row r="1087" spans="2:3" x14ac:dyDescent="0.25">
      <c r="B1087" s="2"/>
      <c r="C1087" s="1"/>
    </row>
    <row r="1088" spans="2:3" x14ac:dyDescent="0.25">
      <c r="B1088" s="2"/>
      <c r="C1088" s="1"/>
    </row>
    <row r="1089" spans="2:3" x14ac:dyDescent="0.25">
      <c r="B1089" s="2"/>
      <c r="C1089" s="1"/>
    </row>
    <row r="1090" spans="2:3" x14ac:dyDescent="0.25">
      <c r="B1090" s="2"/>
      <c r="C1090" s="1"/>
    </row>
    <row r="1091" spans="2:3" x14ac:dyDescent="0.25">
      <c r="B1091" s="2"/>
      <c r="C1091" s="1"/>
    </row>
    <row r="1092" spans="2:3" x14ac:dyDescent="0.25">
      <c r="B1092" s="2"/>
      <c r="C1092" s="1"/>
    </row>
    <row r="1093" spans="2:3" x14ac:dyDescent="0.25">
      <c r="B1093" s="2"/>
      <c r="C1093" s="1"/>
    </row>
    <row r="1094" spans="2:3" x14ac:dyDescent="0.25">
      <c r="B1094" s="2"/>
      <c r="C1094" s="1"/>
    </row>
    <row r="1095" spans="2:3" x14ac:dyDescent="0.25">
      <c r="B1095" s="2"/>
      <c r="C1095" s="1"/>
    </row>
    <row r="1096" spans="2:3" x14ac:dyDescent="0.25">
      <c r="B1096" s="2"/>
      <c r="C1096" s="1"/>
    </row>
    <row r="1097" spans="2:3" x14ac:dyDescent="0.25">
      <c r="B1097" s="2"/>
      <c r="C1097" s="1"/>
    </row>
    <row r="1098" spans="2:3" x14ac:dyDescent="0.25">
      <c r="B1098" s="2"/>
      <c r="C1098" s="1"/>
    </row>
    <row r="1099" spans="2:3" x14ac:dyDescent="0.25">
      <c r="B1099" s="2"/>
      <c r="C1099" s="1"/>
    </row>
    <row r="1100" spans="2:3" x14ac:dyDescent="0.25">
      <c r="B1100" s="2"/>
      <c r="C1100" s="1"/>
    </row>
    <row r="1101" spans="2:3" x14ac:dyDescent="0.25">
      <c r="B1101" s="2"/>
      <c r="C1101" s="1"/>
    </row>
    <row r="1102" spans="2:3" x14ac:dyDescent="0.25">
      <c r="B1102" s="2"/>
      <c r="C1102" s="1"/>
    </row>
    <row r="1103" spans="2:3" x14ac:dyDescent="0.25">
      <c r="B1103" s="2"/>
      <c r="C1103" s="1"/>
    </row>
    <row r="1104" spans="2:3" x14ac:dyDescent="0.25">
      <c r="B1104" s="2"/>
      <c r="C1104" s="1"/>
    </row>
    <row r="1105" spans="2:3" x14ac:dyDescent="0.25">
      <c r="B1105" s="2"/>
      <c r="C1105" s="1"/>
    </row>
    <row r="1106" spans="2:3" x14ac:dyDescent="0.25">
      <c r="B1106" s="2"/>
      <c r="C1106" s="1"/>
    </row>
    <row r="1107" spans="2:3" x14ac:dyDescent="0.25">
      <c r="B1107" s="2"/>
      <c r="C1107" s="1"/>
    </row>
    <row r="1108" spans="2:3" x14ac:dyDescent="0.25">
      <c r="B1108" s="2"/>
      <c r="C1108" s="1"/>
    </row>
    <row r="1109" spans="2:3" x14ac:dyDescent="0.25">
      <c r="B1109" s="2"/>
      <c r="C1109" s="1"/>
    </row>
    <row r="1110" spans="2:3" x14ac:dyDescent="0.25">
      <c r="B1110" s="2"/>
      <c r="C1110" s="1"/>
    </row>
    <row r="1111" spans="2:3" x14ac:dyDescent="0.25">
      <c r="B1111" s="2"/>
      <c r="C1111" s="1"/>
    </row>
    <row r="1112" spans="2:3" x14ac:dyDescent="0.25">
      <c r="B1112" s="2"/>
      <c r="C1112" s="1"/>
    </row>
    <row r="1113" spans="2:3" x14ac:dyDescent="0.25">
      <c r="B1113" s="2"/>
      <c r="C1113" s="1"/>
    </row>
    <row r="1114" spans="2:3" x14ac:dyDescent="0.25">
      <c r="B1114" s="2"/>
      <c r="C1114" s="1"/>
    </row>
    <row r="1115" spans="2:3" x14ac:dyDescent="0.25">
      <c r="B1115" s="2"/>
      <c r="C1115" s="1"/>
    </row>
    <row r="1116" spans="2:3" x14ac:dyDescent="0.25">
      <c r="B1116" s="2"/>
      <c r="C1116" s="1"/>
    </row>
    <row r="1117" spans="2:3" x14ac:dyDescent="0.25">
      <c r="B1117" s="2"/>
      <c r="C1117" s="1"/>
    </row>
    <row r="1118" spans="2:3" x14ac:dyDescent="0.25">
      <c r="B1118" s="2"/>
      <c r="C1118" s="1"/>
    </row>
    <row r="1119" spans="2:3" x14ac:dyDescent="0.25">
      <c r="B1119" s="2"/>
      <c r="C1119" s="1"/>
    </row>
    <row r="1120" spans="2:3" x14ac:dyDescent="0.25">
      <c r="B1120" s="2"/>
      <c r="C1120" s="1"/>
    </row>
    <row r="1121" spans="2:3" x14ac:dyDescent="0.25">
      <c r="B1121" s="2"/>
      <c r="C1121" s="1"/>
    </row>
    <row r="1122" spans="2:3" x14ac:dyDescent="0.25">
      <c r="B1122" s="2"/>
      <c r="C1122" s="1"/>
    </row>
    <row r="1123" spans="2:3" x14ac:dyDescent="0.25">
      <c r="B1123" s="2"/>
      <c r="C1123" s="1"/>
    </row>
    <row r="1124" spans="2:3" x14ac:dyDescent="0.25">
      <c r="B1124" s="2"/>
      <c r="C1124" s="1"/>
    </row>
    <row r="1125" spans="2:3" x14ac:dyDescent="0.25">
      <c r="B1125" s="2"/>
      <c r="C1125" s="1"/>
    </row>
    <row r="1126" spans="2:3" x14ac:dyDescent="0.25">
      <c r="B1126" s="2"/>
      <c r="C1126" s="1"/>
    </row>
    <row r="1127" spans="2:3" x14ac:dyDescent="0.25">
      <c r="B1127" s="2"/>
      <c r="C1127" s="1"/>
    </row>
    <row r="1128" spans="2:3" x14ac:dyDescent="0.25">
      <c r="B1128" s="2"/>
      <c r="C1128" s="1"/>
    </row>
    <row r="1129" spans="2:3" x14ac:dyDescent="0.25">
      <c r="B1129" s="2"/>
      <c r="C1129" s="1"/>
    </row>
    <row r="1130" spans="2:3" x14ac:dyDescent="0.25">
      <c r="B1130" s="2"/>
      <c r="C1130" s="1"/>
    </row>
    <row r="1131" spans="2:3" x14ac:dyDescent="0.25">
      <c r="B1131" s="2"/>
      <c r="C1131" s="1"/>
    </row>
    <row r="1132" spans="2:3" x14ac:dyDescent="0.25">
      <c r="B1132" s="2"/>
      <c r="C1132" s="1"/>
    </row>
    <row r="1133" spans="2:3" x14ac:dyDescent="0.25">
      <c r="B1133" s="2"/>
      <c r="C1133" s="1"/>
    </row>
    <row r="1134" spans="2:3" x14ac:dyDescent="0.25">
      <c r="C1134" s="1"/>
    </row>
  </sheetData>
  <autoFilter ref="A1:D1133" xr:uid="{00000000-0009-0000-0000-00000A000000}"/>
  <dataValidations disablePrompts="1" count="1">
    <dataValidation type="list" allowBlank="1" showInputMessage="1" showErrorMessage="1" sqref="D10:D654" xr:uid="{00000000-0002-0000-0A00-000000000000}"/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glio2"/>
  <dimension ref="A1:A9"/>
  <sheetViews>
    <sheetView workbookViewId="0">
      <selection activeCell="B6" sqref="B6"/>
    </sheetView>
  </sheetViews>
  <sheetFormatPr defaultRowHeight="15" x14ac:dyDescent="0.25"/>
  <cols>
    <col min="1" max="1" width="19.42578125" bestFit="1" customWidth="1"/>
  </cols>
  <sheetData>
    <row r="1" spans="1:1" x14ac:dyDescent="0.25">
      <c r="A1" t="s">
        <v>2</v>
      </c>
    </row>
    <row r="2" spans="1:1" x14ac:dyDescent="0.25">
      <c r="A2" s="2"/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Foglio4"/>
  <dimension ref="A1:F101"/>
  <sheetViews>
    <sheetView tabSelected="1" workbookViewId="0">
      <selection activeCell="M6" sqref="M6"/>
    </sheetView>
  </sheetViews>
  <sheetFormatPr defaultRowHeight="15" x14ac:dyDescent="0.25"/>
  <cols>
    <col min="1" max="1" width="40.140625" bestFit="1" customWidth="1"/>
    <col min="2" max="2" width="15.85546875" bestFit="1" customWidth="1"/>
    <col min="3" max="3" width="20.28515625" bestFit="1" customWidth="1"/>
    <col min="5" max="6" width="9.42578125" bestFit="1" customWidth="1"/>
  </cols>
  <sheetData>
    <row r="1" spans="1:6" x14ac:dyDescent="0.25">
      <c r="A1" s="31" t="s">
        <v>0</v>
      </c>
      <c r="B1" s="32" t="s">
        <v>1</v>
      </c>
      <c r="C1" s="32" t="s">
        <v>10</v>
      </c>
    </row>
    <row r="2" spans="1:6" x14ac:dyDescent="0.25">
      <c r="A2" s="9" t="s">
        <v>139</v>
      </c>
      <c r="B2" s="9">
        <v>1</v>
      </c>
      <c r="C2" s="9">
        <f>IFERROR(B2 * (INDEX(Dipendenti!O:O, MATCH(A2, Dipendenti!A:A, 0)) / 6), "")</f>
        <v>6</v>
      </c>
    </row>
    <row r="3" spans="1:6" x14ac:dyDescent="0.25">
      <c r="A3" s="9" t="s">
        <v>119</v>
      </c>
      <c r="B3" s="9">
        <v>12</v>
      </c>
      <c r="C3" s="9">
        <f>IFERROR(B3 * (INDEX(Dipendenti!O:O, MATCH(A3, Dipendenti!A:A, 0)) / 6), "")</f>
        <v>72</v>
      </c>
    </row>
    <row r="4" spans="1:6" x14ac:dyDescent="0.25">
      <c r="A4" s="9" t="s">
        <v>146</v>
      </c>
      <c r="B4" s="9">
        <v>-5</v>
      </c>
      <c r="C4" s="9">
        <f>IFERROR(B4 * (INDEX(Dipendenti!O:O, MATCH(A4, Dipendenti!A:A, 0)) / 6), "")</f>
        <v>-30</v>
      </c>
    </row>
    <row r="5" spans="1:6" x14ac:dyDescent="0.25">
      <c r="A5" s="9" t="s">
        <v>80</v>
      </c>
      <c r="B5" s="9">
        <v>-2</v>
      </c>
      <c r="C5" s="9">
        <f>IFERROR(B5 * (INDEX(Dipendenti!O:O, MATCH(A5, Dipendenti!A:A, 0)) / 6), "")</f>
        <v>-8.3333333333333339</v>
      </c>
    </row>
    <row r="6" spans="1:6" x14ac:dyDescent="0.25">
      <c r="A6" s="9" t="s">
        <v>374</v>
      </c>
      <c r="B6" s="9">
        <v>44</v>
      </c>
      <c r="C6" s="9">
        <f>IFERROR(B6 * (INDEX(Dipendenti!O:O, MATCH(A6, Dipendenti!A:A, 0)) / 6), "")</f>
        <v>220</v>
      </c>
    </row>
    <row r="7" spans="1:6" x14ac:dyDescent="0.25">
      <c r="A7" s="9" t="s">
        <v>99</v>
      </c>
      <c r="B7" s="9">
        <v>0</v>
      </c>
      <c r="C7" s="9">
        <f>IFERROR(B7 * (INDEX(Dipendenti!O:O, MATCH(A7, Dipendenti!A:A, 0)) / 6), "")</f>
        <v>0</v>
      </c>
    </row>
    <row r="8" spans="1:6" x14ac:dyDescent="0.25">
      <c r="A8" s="9" t="s">
        <v>375</v>
      </c>
      <c r="B8" s="9">
        <v>-3</v>
      </c>
      <c r="C8" s="9">
        <f>IFERROR(B8 * (INDEX(Dipendenti!O:O, MATCH(A8, Dipendenti!A:A, 0)) / 6), "")</f>
        <v>-18</v>
      </c>
    </row>
    <row r="9" spans="1:6" x14ac:dyDescent="0.25">
      <c r="A9" s="9" t="s">
        <v>82</v>
      </c>
      <c r="B9" s="9">
        <v>37</v>
      </c>
      <c r="C9" s="9">
        <f>IFERROR(B9 * (INDEX(Dipendenti!O:O, MATCH(A9, Dipendenti!A:A, 0)) / 6), "")</f>
        <v>222</v>
      </c>
    </row>
    <row r="10" spans="1:6" x14ac:dyDescent="0.25">
      <c r="A10" s="9" t="s">
        <v>83</v>
      </c>
      <c r="B10" s="9">
        <v>29</v>
      </c>
      <c r="C10" s="9">
        <f>IFERROR(B10 * (INDEX(Dipendenti!O:O, MATCH(A10, Dipendenti!A:A, 0)) / 6), "")</f>
        <v>174</v>
      </c>
    </row>
    <row r="11" spans="1:6" x14ac:dyDescent="0.25">
      <c r="A11" s="9" t="s">
        <v>96</v>
      </c>
      <c r="B11" s="9">
        <v>43</v>
      </c>
      <c r="C11" s="9">
        <f>IFERROR(B11 * (INDEX(Dipendenti!O:O, MATCH(A11, Dipendenti!A:A, 0)) / 6), "")</f>
        <v>258</v>
      </c>
    </row>
    <row r="12" spans="1:6" x14ac:dyDescent="0.25">
      <c r="A12" s="9" t="s">
        <v>106</v>
      </c>
      <c r="B12" s="9">
        <v>-3</v>
      </c>
      <c r="C12" s="9">
        <f>IFERROR(B12 * (INDEX(Dipendenti!O:O, MATCH(A12, Dipendenti!A:A, 0)) / 6), "")</f>
        <v>-15</v>
      </c>
      <c r="E12" s="34"/>
      <c r="F12" s="34"/>
    </row>
    <row r="13" spans="1:6" x14ac:dyDescent="0.25">
      <c r="A13" s="9" t="s">
        <v>76</v>
      </c>
      <c r="B13" s="9">
        <v>0</v>
      </c>
      <c r="C13" s="9">
        <f>IFERROR(B13 * (INDEX(Dipendenti!O:O, MATCH(A13, Dipendenti!A:A, 0)) / 6), "")</f>
        <v>0</v>
      </c>
    </row>
    <row r="14" spans="1:6" x14ac:dyDescent="0.25">
      <c r="A14" s="9" t="s">
        <v>376</v>
      </c>
      <c r="B14" s="9">
        <v>39</v>
      </c>
      <c r="C14" s="9">
        <f>IFERROR(B14 * (INDEX(Dipendenti!O:O, MATCH(A14, Dipendenti!A:A, 0)) / 6), "")</f>
        <v>162.5</v>
      </c>
    </row>
    <row r="15" spans="1:6" x14ac:dyDescent="0.25">
      <c r="A15" s="9" t="s">
        <v>110</v>
      </c>
      <c r="B15" s="9">
        <v>45</v>
      </c>
      <c r="C15" s="9">
        <f>IFERROR(B15 * (INDEX(Dipendenti!O:O, MATCH(A15, Dipendenti!A:A, 0)) / 6), "")</f>
        <v>270</v>
      </c>
    </row>
    <row r="16" spans="1:6" x14ac:dyDescent="0.25">
      <c r="A16" s="9" t="s">
        <v>115</v>
      </c>
      <c r="B16" s="9">
        <v>1</v>
      </c>
      <c r="C16" s="9">
        <f>IFERROR(B16 * (INDEX(Dipendenti!O:O, MATCH(A16, Dipendenti!A:A, 0)) / 6), "")</f>
        <v>6</v>
      </c>
    </row>
    <row r="17" spans="1:3" x14ac:dyDescent="0.25">
      <c r="A17" s="9" t="s">
        <v>104</v>
      </c>
      <c r="B17" s="9">
        <v>-3</v>
      </c>
      <c r="C17" s="9">
        <f>IFERROR(B17 * (INDEX(Dipendenti!O:O, MATCH(A17, Dipendenti!A:A, 0)) / 6), "")</f>
        <v>-15</v>
      </c>
    </row>
    <row r="18" spans="1:3" x14ac:dyDescent="0.25">
      <c r="A18" s="9" t="s">
        <v>89</v>
      </c>
      <c r="B18" s="9">
        <v>33</v>
      </c>
      <c r="C18" s="9">
        <f>IFERROR(B18 * (INDEX(Dipendenti!O:O, MATCH(A18, Dipendenti!A:A, 0)) / 6), "")</f>
        <v>198</v>
      </c>
    </row>
    <row r="19" spans="1:3" x14ac:dyDescent="0.25">
      <c r="A19" s="9" t="s">
        <v>101</v>
      </c>
      <c r="B19" s="9">
        <v>27</v>
      </c>
      <c r="C19" s="9">
        <f>IFERROR(B19 * (INDEX(Dipendenti!O:O, MATCH(A19, Dipendenti!A:A, 0)) / 6), "")</f>
        <v>162</v>
      </c>
    </row>
    <row r="20" spans="1:3" x14ac:dyDescent="0.25">
      <c r="A20" s="9" t="s">
        <v>77</v>
      </c>
      <c r="B20" s="9">
        <v>49</v>
      </c>
      <c r="C20" s="9">
        <f>IFERROR(B20 * (INDEX(Dipendenti!O:O, MATCH(A20, Dipendenti!A:A, 0)) / 6), "")</f>
        <v>245</v>
      </c>
    </row>
    <row r="21" spans="1:3" x14ac:dyDescent="0.25">
      <c r="A21" s="9" t="s">
        <v>147</v>
      </c>
      <c r="B21" s="9">
        <v>18</v>
      </c>
      <c r="C21" s="9">
        <f>IFERROR(B21 * (INDEX(Dipendenti!O:O, MATCH(A21, Dipendenti!A:A, 0)) / 6), "")</f>
        <v>108</v>
      </c>
    </row>
    <row r="22" spans="1:3" x14ac:dyDescent="0.25">
      <c r="A22" s="9" t="s">
        <v>65</v>
      </c>
      <c r="B22" s="9">
        <v>4</v>
      </c>
      <c r="C22" s="9">
        <f>IFERROR(B22 * (INDEX(Dipendenti!O:O, MATCH(A22, Dipendenti!A:A, 0)) / 6), "")</f>
        <v>24</v>
      </c>
    </row>
    <row r="23" spans="1:3" x14ac:dyDescent="0.25">
      <c r="A23" s="9" t="s">
        <v>377</v>
      </c>
      <c r="B23" s="9">
        <v>27</v>
      </c>
      <c r="C23" s="9">
        <f>IFERROR(B23 * (INDEX(Dipendenti!O:O, MATCH(A23, Dipendenti!A:A, 0)) / 6), "")</f>
        <v>162</v>
      </c>
    </row>
    <row r="24" spans="1:3" x14ac:dyDescent="0.25">
      <c r="A24" s="9" t="s">
        <v>94</v>
      </c>
      <c r="B24" s="9">
        <v>24</v>
      </c>
      <c r="C24" s="9">
        <f>IFERROR(B24 * (INDEX(Dipendenti!O:O, MATCH(A24, Dipendenti!A:A, 0)) / 6), "")</f>
        <v>144</v>
      </c>
    </row>
    <row r="25" spans="1:3" x14ac:dyDescent="0.25">
      <c r="A25" s="9" t="s">
        <v>378</v>
      </c>
      <c r="B25" s="9">
        <v>34</v>
      </c>
      <c r="C25" s="9">
        <f>IFERROR(B25 * (INDEX(Dipendenti!O:O, MATCH(A25, Dipendenti!A:A, 0)) / 6), "")</f>
        <v>204</v>
      </c>
    </row>
    <row r="26" spans="1:3" x14ac:dyDescent="0.25">
      <c r="A26" s="9" t="s">
        <v>113</v>
      </c>
      <c r="B26" s="9">
        <v>17</v>
      </c>
      <c r="C26" s="9">
        <f>IFERROR(B26 * (INDEX(Dipendenti!O:O, MATCH(A26, Dipendenti!A:A, 0)) / 6), "")</f>
        <v>102</v>
      </c>
    </row>
    <row r="27" spans="1:3" x14ac:dyDescent="0.25">
      <c r="A27" s="9" t="s">
        <v>64</v>
      </c>
      <c r="B27" s="9">
        <v>20</v>
      </c>
      <c r="C27" s="9">
        <f>IFERROR(B27 * (INDEX(Dipendenti!O:O, MATCH(A27, Dipendenti!A:A, 0)) / 6), "")</f>
        <v>120</v>
      </c>
    </row>
    <row r="28" spans="1:3" x14ac:dyDescent="0.25">
      <c r="A28" s="9" t="s">
        <v>88</v>
      </c>
      <c r="B28" s="9">
        <v>0</v>
      </c>
      <c r="C28" s="9">
        <f>IFERROR(B28 * (INDEX(Dipendenti!O:O, MATCH(A28, Dipendenti!A:A, 0)) / 6), "")</f>
        <v>0</v>
      </c>
    </row>
    <row r="29" spans="1:3" x14ac:dyDescent="0.25">
      <c r="A29" s="9" t="s">
        <v>120</v>
      </c>
      <c r="B29" s="9">
        <v>42</v>
      </c>
      <c r="C29" s="9">
        <f>IFERROR(B29 * (INDEX(Dipendenti!O:O, MATCH(A29, Dipendenti!A:A, 0)) / 6), "")</f>
        <v>252</v>
      </c>
    </row>
    <row r="30" spans="1:3" x14ac:dyDescent="0.25">
      <c r="A30" s="9" t="s">
        <v>142</v>
      </c>
      <c r="B30" s="9">
        <v>44</v>
      </c>
      <c r="C30" s="9">
        <f>IFERROR(B30 * (INDEX(Dipendenti!O:O, MATCH(A30, Dipendenti!A:A, 0)) / 6), "")</f>
        <v>264</v>
      </c>
    </row>
    <row r="31" spans="1:3" x14ac:dyDescent="0.25">
      <c r="A31" s="9" t="s">
        <v>122</v>
      </c>
      <c r="B31" s="9">
        <v>-3</v>
      </c>
      <c r="C31" s="9">
        <f>IFERROR(B31 * (INDEX(Dipendenti!O:O, MATCH(A31, Dipendenti!A:A, 0)) / 6), "")</f>
        <v>-18</v>
      </c>
    </row>
    <row r="32" spans="1:3" x14ac:dyDescent="0.25">
      <c r="A32" s="9" t="s">
        <v>85</v>
      </c>
      <c r="B32" s="9">
        <v>28</v>
      </c>
      <c r="C32" s="9">
        <f>IFERROR(B32 * (INDEX(Dipendenti!O:O, MATCH(A32, Dipendenti!A:A, 0)) / 6), "")</f>
        <v>168</v>
      </c>
    </row>
    <row r="33" spans="1:3" x14ac:dyDescent="0.25">
      <c r="A33" s="9" t="s">
        <v>134</v>
      </c>
      <c r="B33" s="9">
        <v>13</v>
      </c>
      <c r="C33" s="9">
        <f>IFERROR(B33 * (INDEX(Dipendenti!O:O, MATCH(A33, Dipendenti!A:A, 0)) / 6), "")</f>
        <v>78</v>
      </c>
    </row>
    <row r="34" spans="1:3" x14ac:dyDescent="0.25">
      <c r="A34" s="9" t="s">
        <v>132</v>
      </c>
      <c r="B34" s="9">
        <v>32</v>
      </c>
      <c r="C34" s="9">
        <f>IFERROR(B34 * (INDEX(Dipendenti!O:O, MATCH(A34, Dipendenti!A:A, 0)) / 6), "")</f>
        <v>192</v>
      </c>
    </row>
    <row r="35" spans="1:3" x14ac:dyDescent="0.25">
      <c r="A35" s="9" t="s">
        <v>108</v>
      </c>
      <c r="B35" s="9">
        <v>8</v>
      </c>
      <c r="C35" s="9">
        <f>IFERROR(B35 * (INDEX(Dipendenti!O:O, MATCH(A35, Dipendenti!A:A, 0)) / 6), "")</f>
        <v>48</v>
      </c>
    </row>
    <row r="36" spans="1:3" x14ac:dyDescent="0.25">
      <c r="A36" s="9" t="s">
        <v>123</v>
      </c>
      <c r="B36" s="9">
        <v>34</v>
      </c>
      <c r="C36" s="9">
        <f>IFERROR(B36 * (INDEX(Dipendenti!O:O, MATCH(A36, Dipendenti!A:A, 0)) / 6), "")</f>
        <v>204</v>
      </c>
    </row>
    <row r="37" spans="1:3" x14ac:dyDescent="0.25">
      <c r="A37" s="9" t="s">
        <v>69</v>
      </c>
      <c r="B37" s="9">
        <v>17</v>
      </c>
      <c r="C37" s="9">
        <f>IFERROR(B37 * (INDEX(Dipendenti!O:O, MATCH(A37, Dipendenti!A:A, 0)) / 6), "")</f>
        <v>102</v>
      </c>
    </row>
    <row r="38" spans="1:3" x14ac:dyDescent="0.25">
      <c r="A38" s="9" t="s">
        <v>87</v>
      </c>
      <c r="B38" s="9">
        <v>14</v>
      </c>
      <c r="C38" s="9">
        <f>IFERROR(B38 * (INDEX(Dipendenti!O:O, MATCH(A38, Dipendenti!A:A, 0)) / 6), "")</f>
        <v>84</v>
      </c>
    </row>
    <row r="39" spans="1:3" x14ac:dyDescent="0.25">
      <c r="A39" s="9" t="s">
        <v>135</v>
      </c>
      <c r="B39" s="9">
        <v>15</v>
      </c>
      <c r="C39" s="9">
        <f>IFERROR(B39 * (INDEX(Dipendenti!O:O, MATCH(A39, Dipendenti!A:A, 0)) / 6), "")</f>
        <v>90</v>
      </c>
    </row>
    <row r="40" spans="1:3" x14ac:dyDescent="0.25">
      <c r="A40" s="9" t="s">
        <v>90</v>
      </c>
      <c r="B40" s="9">
        <v>48</v>
      </c>
      <c r="C40" s="9">
        <f>IFERROR(B40 * (INDEX(Dipendenti!O:O, MATCH(A40, Dipendenti!A:A, 0)) / 6), "")</f>
        <v>288</v>
      </c>
    </row>
    <row r="41" spans="1:3" x14ac:dyDescent="0.25">
      <c r="A41" s="9" t="s">
        <v>102</v>
      </c>
      <c r="B41" s="9">
        <v>4</v>
      </c>
      <c r="C41" s="9">
        <f>IFERROR(B41 * (INDEX(Dipendenti!O:O, MATCH(A41, Dipendenti!A:A, 0)) / 6), "")</f>
        <v>24</v>
      </c>
    </row>
    <row r="42" spans="1:3" x14ac:dyDescent="0.25">
      <c r="A42" s="9" t="s">
        <v>379</v>
      </c>
      <c r="B42" s="9">
        <v>37</v>
      </c>
      <c r="C42" s="9">
        <f>IFERROR(B42 * (INDEX(Dipendenti!O:O, MATCH(A42, Dipendenti!A:A, 0)) / 6), "")</f>
        <v>222</v>
      </c>
    </row>
    <row r="43" spans="1:3" x14ac:dyDescent="0.25">
      <c r="A43" s="9" t="s">
        <v>128</v>
      </c>
      <c r="B43" s="9">
        <v>15</v>
      </c>
      <c r="C43" s="9">
        <f>IFERROR(B43 * (INDEX(Dipendenti!O:O, MATCH(A43, Dipendenti!A:A, 0)) / 6), "")</f>
        <v>90</v>
      </c>
    </row>
    <row r="44" spans="1:3" x14ac:dyDescent="0.25">
      <c r="A44" s="9" t="s">
        <v>75</v>
      </c>
      <c r="B44" s="9">
        <v>38</v>
      </c>
      <c r="C44" s="9">
        <f>IFERROR(B44 * (INDEX(Dipendenti!O:O, MATCH(A44, Dipendenti!A:A, 0)) / 6), "")</f>
        <v>228</v>
      </c>
    </row>
    <row r="45" spans="1:3" x14ac:dyDescent="0.25">
      <c r="A45" s="9" t="s">
        <v>136</v>
      </c>
      <c r="B45" s="9">
        <v>33</v>
      </c>
      <c r="C45" s="9">
        <f>IFERROR(B45 * (INDEX(Dipendenti!O:O, MATCH(A45, Dipendenti!A:A, 0)) / 6), "")</f>
        <v>198</v>
      </c>
    </row>
    <row r="46" spans="1:3" x14ac:dyDescent="0.25">
      <c r="A46" s="9" t="s">
        <v>73</v>
      </c>
      <c r="B46" s="9">
        <v>10</v>
      </c>
      <c r="C46" s="9">
        <f>IFERROR(B46 * (INDEX(Dipendenti!O:O, MATCH(A46, Dipendenti!A:A, 0)) / 6), "")</f>
        <v>60</v>
      </c>
    </row>
    <row r="47" spans="1:3" x14ac:dyDescent="0.25">
      <c r="A47" s="9" t="s">
        <v>95</v>
      </c>
      <c r="B47" s="9">
        <v>0</v>
      </c>
      <c r="C47" s="9">
        <f>IFERROR(B47 * (INDEX(Dipendenti!O:O, MATCH(A47, Dipendenti!A:A, 0)) / 6), "")</f>
        <v>0</v>
      </c>
    </row>
    <row r="48" spans="1:3" x14ac:dyDescent="0.25">
      <c r="A48" s="9" t="s">
        <v>112</v>
      </c>
      <c r="B48" s="9">
        <v>10</v>
      </c>
      <c r="C48" s="9">
        <f>IFERROR(B48 * (INDEX(Dipendenti!O:O, MATCH(A48, Dipendenti!A:A, 0)) / 6), "")</f>
        <v>41.666666666666671</v>
      </c>
    </row>
    <row r="49" spans="1:3" x14ac:dyDescent="0.25">
      <c r="A49" s="9" t="s">
        <v>92</v>
      </c>
      <c r="B49" s="9">
        <v>0</v>
      </c>
      <c r="C49" s="9">
        <f>IFERROR(B49 * (INDEX(Dipendenti!O:O, MATCH(A49, Dipendenti!A:A, 0)) / 6), "")</f>
        <v>0</v>
      </c>
    </row>
    <row r="50" spans="1:3" x14ac:dyDescent="0.25">
      <c r="A50" s="9" t="s">
        <v>125</v>
      </c>
      <c r="B50" s="9">
        <v>26</v>
      </c>
      <c r="C50" s="9">
        <f>IFERROR(B50 * (INDEX(Dipendenti!O:O, MATCH(A50, Dipendenti!A:A, 0)) / 6), "")</f>
        <v>156</v>
      </c>
    </row>
    <row r="51" spans="1:3" x14ac:dyDescent="0.25">
      <c r="A51" s="9" t="s">
        <v>124</v>
      </c>
      <c r="B51" s="9">
        <v>27</v>
      </c>
      <c r="C51" s="9">
        <f>IFERROR(B51 * (INDEX(Dipendenti!O:O, MATCH(A51, Dipendenti!A:A, 0)) / 6), "")</f>
        <v>112.50000000000001</v>
      </c>
    </row>
    <row r="52" spans="1:3" x14ac:dyDescent="0.25">
      <c r="A52" s="9" t="s">
        <v>380</v>
      </c>
      <c r="B52" s="9">
        <v>3</v>
      </c>
      <c r="C52" s="9">
        <f>IFERROR(B52 * (INDEX(Dipendenti!O:O, MATCH(A52, Dipendenti!A:A, 0)) / 6), "")</f>
        <v>18</v>
      </c>
    </row>
    <row r="53" spans="1:3" x14ac:dyDescent="0.25">
      <c r="A53" s="9" t="s">
        <v>81</v>
      </c>
      <c r="B53" s="9">
        <v>48</v>
      </c>
      <c r="C53" s="9">
        <f>IFERROR(B53 * (INDEX(Dipendenti!O:O, MATCH(A53, Dipendenti!A:A, 0)) / 6), "")</f>
        <v>288</v>
      </c>
    </row>
    <row r="54" spans="1:3" x14ac:dyDescent="0.25">
      <c r="A54" s="9" t="s">
        <v>140</v>
      </c>
      <c r="B54" s="9">
        <v>13</v>
      </c>
      <c r="C54" s="9">
        <f>IFERROR(B54 * (INDEX(Dipendenti!O:O, MATCH(A54, Dipendenti!A:A, 0)) / 6), "")</f>
        <v>78</v>
      </c>
    </row>
    <row r="55" spans="1:3" x14ac:dyDescent="0.25">
      <c r="A55" s="9" t="s">
        <v>126</v>
      </c>
      <c r="B55" s="9">
        <v>3</v>
      </c>
      <c r="C55" s="9">
        <f>IFERROR(B55 * (INDEX(Dipendenti!O:O, MATCH(A55, Dipendenti!A:A, 0)) / 6), "")</f>
        <v>18</v>
      </c>
    </row>
    <row r="56" spans="1:3" x14ac:dyDescent="0.25">
      <c r="A56" s="9" t="s">
        <v>97</v>
      </c>
      <c r="B56" s="9">
        <v>34</v>
      </c>
      <c r="C56" s="9">
        <f>IFERROR(B56 * (INDEX(Dipendenti!O:O, MATCH(A56, Dipendenti!A:A, 0)) / 6), "")</f>
        <v>204</v>
      </c>
    </row>
    <row r="57" spans="1:3" x14ac:dyDescent="0.25">
      <c r="A57" s="9" t="s">
        <v>117</v>
      </c>
      <c r="B57" s="9">
        <v>17</v>
      </c>
      <c r="C57" s="9">
        <f>IFERROR(B57 * (INDEX(Dipendenti!O:O, MATCH(A57, Dipendenti!A:A, 0)) / 6), "")</f>
        <v>102</v>
      </c>
    </row>
    <row r="58" spans="1:3" x14ac:dyDescent="0.25">
      <c r="A58" s="9" t="s">
        <v>78</v>
      </c>
      <c r="B58" s="9">
        <v>9</v>
      </c>
      <c r="C58" s="9">
        <f>IFERROR(B58 * (INDEX(Dipendenti!O:O, MATCH(A58, Dipendenti!A:A, 0)) / 6), "")</f>
        <v>54</v>
      </c>
    </row>
    <row r="59" spans="1:3" x14ac:dyDescent="0.25">
      <c r="A59" s="9" t="s">
        <v>84</v>
      </c>
      <c r="B59" s="9">
        <v>41</v>
      </c>
      <c r="C59" s="9">
        <f>IFERROR(B59 * (INDEX(Dipendenti!O:O, MATCH(A59, Dipendenti!A:A, 0)) / 6), "")</f>
        <v>246</v>
      </c>
    </row>
    <row r="60" spans="1:3" x14ac:dyDescent="0.25">
      <c r="A60" s="9" t="s">
        <v>143</v>
      </c>
      <c r="B60" s="9">
        <v>6</v>
      </c>
      <c r="C60" s="9">
        <f>IFERROR(B60 * (INDEX(Dipendenti!O:O, MATCH(A60, Dipendenti!A:A, 0)) / 6), "")</f>
        <v>36</v>
      </c>
    </row>
    <row r="61" spans="1:3" x14ac:dyDescent="0.25">
      <c r="A61" s="9" t="s">
        <v>91</v>
      </c>
      <c r="B61" s="9">
        <v>7</v>
      </c>
      <c r="C61" s="9">
        <f>IFERROR(B61 * (INDEX(Dipendenti!O:O, MATCH(A61, Dipendenti!A:A, 0)) / 6), "")</f>
        <v>42</v>
      </c>
    </row>
    <row r="62" spans="1:3" x14ac:dyDescent="0.25">
      <c r="A62" s="9" t="s">
        <v>67</v>
      </c>
      <c r="B62" s="9">
        <v>0</v>
      </c>
      <c r="C62" s="9">
        <f>IFERROR(B62 * (INDEX(Dipendenti!O:O, MATCH(A62, Dipendenti!A:A, 0)) / 6), "")</f>
        <v>0</v>
      </c>
    </row>
    <row r="63" spans="1:3" x14ac:dyDescent="0.25">
      <c r="A63" s="9" t="s">
        <v>105</v>
      </c>
      <c r="B63" s="9">
        <v>-4</v>
      </c>
      <c r="C63" s="9">
        <f>IFERROR(B63 * (INDEX(Dipendenti!O:O, MATCH(A63, Dipendenti!A:A, 0)) / 6), "")</f>
        <v>-20</v>
      </c>
    </row>
    <row r="64" spans="1:3" x14ac:dyDescent="0.25">
      <c r="A64" s="9" t="s">
        <v>116</v>
      </c>
      <c r="B64" s="9">
        <v>5</v>
      </c>
      <c r="C64" s="9">
        <f>IFERROR(B64 * (INDEX(Dipendenti!O:O, MATCH(A64, Dipendenti!A:A, 0)) / 6), "")</f>
        <v>30</v>
      </c>
    </row>
    <row r="65" spans="1:3" x14ac:dyDescent="0.25">
      <c r="A65" s="9" t="s">
        <v>100</v>
      </c>
      <c r="B65" s="9">
        <v>13</v>
      </c>
      <c r="C65" s="9">
        <f>IFERROR(B65 * (INDEX(Dipendenti!O:O, MATCH(A65, Dipendenti!A:A, 0)) / 6), "")</f>
        <v>78</v>
      </c>
    </row>
    <row r="66" spans="1:3" x14ac:dyDescent="0.25">
      <c r="A66" s="9" t="s">
        <v>381</v>
      </c>
      <c r="B66" s="9">
        <v>30</v>
      </c>
      <c r="C66" s="9">
        <f>IFERROR(B66 * (INDEX(Dipendenti!O:O, MATCH(A66, Dipendenti!A:A, 0)) / 6), "")</f>
        <v>180</v>
      </c>
    </row>
    <row r="67" spans="1:3" x14ac:dyDescent="0.25">
      <c r="A67" s="9" t="s">
        <v>71</v>
      </c>
      <c r="B67" s="9">
        <v>-3</v>
      </c>
      <c r="C67" s="9">
        <f>IFERROR(B67 * (INDEX(Dipendenti!O:O, MATCH(A67, Dipendenti!A:A, 0)) / 6), "")</f>
        <v>-15</v>
      </c>
    </row>
    <row r="68" spans="1:3" x14ac:dyDescent="0.25">
      <c r="A68" s="9" t="s">
        <v>121</v>
      </c>
      <c r="B68" s="9">
        <v>45</v>
      </c>
      <c r="C68" s="9">
        <f>IFERROR(B68 * (INDEX(Dipendenti!O:O, MATCH(A68, Dipendenti!A:A, 0)) / 6), "")</f>
        <v>270</v>
      </c>
    </row>
    <row r="69" spans="1:3" x14ac:dyDescent="0.25">
      <c r="A69" s="9" t="s">
        <v>129</v>
      </c>
      <c r="B69" s="9">
        <v>8</v>
      </c>
      <c r="C69" s="9">
        <f>IFERROR(B69 * (INDEX(Dipendenti!O:O, MATCH(A69, Dipendenti!A:A, 0)) / 6), "")</f>
        <v>40</v>
      </c>
    </row>
    <row r="70" spans="1:3" x14ac:dyDescent="0.25">
      <c r="A70" s="9" t="s">
        <v>382</v>
      </c>
      <c r="B70" s="9">
        <v>30</v>
      </c>
      <c r="C70" s="9">
        <f>IFERROR(B70 * (INDEX(Dipendenti!O:O, MATCH(A70, Dipendenti!A:A, 0)) / 6), "")</f>
        <v>180</v>
      </c>
    </row>
    <row r="71" spans="1:3" x14ac:dyDescent="0.25">
      <c r="A71" s="9" t="s">
        <v>98</v>
      </c>
      <c r="B71" s="9">
        <v>47</v>
      </c>
      <c r="C71" s="9">
        <f>IFERROR(B71 * (INDEX(Dipendenti!O:O, MATCH(A71, Dipendenti!A:A, 0)) / 6), "")</f>
        <v>282</v>
      </c>
    </row>
    <row r="72" spans="1:3" x14ac:dyDescent="0.25">
      <c r="A72" s="9" t="s">
        <v>383</v>
      </c>
      <c r="B72" s="9">
        <v>36</v>
      </c>
      <c r="C72" s="9">
        <f>IFERROR(B72 * (INDEX(Dipendenti!O:O, MATCH(A72, Dipendenti!A:A, 0)) / 6), "")</f>
        <v>216</v>
      </c>
    </row>
    <row r="73" spans="1:3" x14ac:dyDescent="0.25">
      <c r="A73" s="9" t="s">
        <v>144</v>
      </c>
      <c r="B73" s="9">
        <v>24</v>
      </c>
      <c r="C73" s="9">
        <f>IFERROR(B73 * (INDEX(Dipendenti!O:O, MATCH(A73, Dipendenti!A:A, 0)) / 6), "")</f>
        <v>120</v>
      </c>
    </row>
    <row r="74" spans="1:3" x14ac:dyDescent="0.25">
      <c r="A74" s="9" t="s">
        <v>138</v>
      </c>
      <c r="B74" s="9">
        <v>22</v>
      </c>
      <c r="C74" s="9">
        <f>IFERROR(B74 * (INDEX(Dipendenti!O:O, MATCH(A74, Dipendenti!A:A, 0)) / 6), "")</f>
        <v>132</v>
      </c>
    </row>
    <row r="75" spans="1:3" x14ac:dyDescent="0.25">
      <c r="A75" s="9" t="s">
        <v>141</v>
      </c>
      <c r="B75" s="9">
        <v>14</v>
      </c>
      <c r="C75" s="9">
        <f>IFERROR(B75 * (INDEX(Dipendenti!O:O, MATCH(A75, Dipendenti!A:A, 0)) / 6), "")</f>
        <v>84</v>
      </c>
    </row>
    <row r="76" spans="1:3" x14ac:dyDescent="0.25">
      <c r="A76" s="9" t="s">
        <v>148</v>
      </c>
      <c r="B76" s="9">
        <v>33</v>
      </c>
      <c r="C76" s="9">
        <f>IFERROR(B76 * (INDEX(Dipendenti!O:O, MATCH(A76, Dipendenti!A:A, 0)) / 6), "")</f>
        <v>165</v>
      </c>
    </row>
    <row r="77" spans="1:3" x14ac:dyDescent="0.25">
      <c r="A77" s="9" t="s">
        <v>137</v>
      </c>
      <c r="B77" s="9">
        <v>9</v>
      </c>
      <c r="C77" s="9">
        <f>IFERROR(B77 * (INDEX(Dipendenti!O:O, MATCH(A77, Dipendenti!A:A, 0)) / 6), "")</f>
        <v>54</v>
      </c>
    </row>
    <row r="78" spans="1:3" x14ac:dyDescent="0.25">
      <c r="A78" s="9" t="s">
        <v>149</v>
      </c>
      <c r="B78" s="9">
        <v>48</v>
      </c>
      <c r="C78" s="9">
        <f>IFERROR(B78 * (INDEX(Dipendenti!O:O, MATCH(A78, Dipendenti!A:A, 0)) / 6), "")</f>
        <v>288</v>
      </c>
    </row>
    <row r="79" spans="1:3" x14ac:dyDescent="0.25">
      <c r="A79" s="9" t="s">
        <v>114</v>
      </c>
      <c r="B79" s="9">
        <v>3</v>
      </c>
      <c r="C79" s="9">
        <f>IFERROR(B79 * (INDEX(Dipendenti!O:O, MATCH(A79, Dipendenti!A:A, 0)) / 6), "")</f>
        <v>18</v>
      </c>
    </row>
    <row r="80" spans="1:3" x14ac:dyDescent="0.25">
      <c r="A80" s="9" t="s">
        <v>72</v>
      </c>
      <c r="B80" s="9">
        <v>33</v>
      </c>
      <c r="C80" s="9">
        <f>IFERROR(B80 * (INDEX(Dipendenti!O:O, MATCH(A80, Dipendenti!A:A, 0)) / 6), "")</f>
        <v>198</v>
      </c>
    </row>
    <row r="81" spans="1:3" x14ac:dyDescent="0.25">
      <c r="A81" s="9" t="s">
        <v>384</v>
      </c>
      <c r="B81" s="9">
        <v>21</v>
      </c>
      <c r="C81" s="9">
        <f>IFERROR(B81 * (INDEX(Dipendenti!O:O, MATCH(A81, Dipendenti!A:A, 0)) / 6), "")</f>
        <v>126</v>
      </c>
    </row>
    <row r="82" spans="1:3" x14ac:dyDescent="0.25">
      <c r="A82" s="9" t="s">
        <v>133</v>
      </c>
      <c r="B82" s="9">
        <v>42</v>
      </c>
      <c r="C82" s="9">
        <f>IFERROR(B82 * (INDEX(Dipendenti!O:O, MATCH(A82, Dipendenti!A:A, 0)) / 6), "")</f>
        <v>252</v>
      </c>
    </row>
    <row r="83" spans="1:3" x14ac:dyDescent="0.25">
      <c r="A83" s="9" t="s">
        <v>127</v>
      </c>
      <c r="B83" s="9">
        <v>25</v>
      </c>
      <c r="C83" s="9">
        <f>IFERROR(B83 * (INDEX(Dipendenti!O:O, MATCH(A83, Dipendenti!A:A, 0)) / 6), "")</f>
        <v>150</v>
      </c>
    </row>
    <row r="84" spans="1:3" x14ac:dyDescent="0.25">
      <c r="A84" s="9" t="s">
        <v>103</v>
      </c>
      <c r="B84" s="9">
        <v>8</v>
      </c>
      <c r="C84" s="9">
        <f>IFERROR(B84 * (INDEX(Dipendenti!O:O, MATCH(A84, Dipendenti!A:A, 0)) / 6), "")</f>
        <v>48</v>
      </c>
    </row>
    <row r="85" spans="1:3" x14ac:dyDescent="0.25">
      <c r="A85" s="9" t="s">
        <v>74</v>
      </c>
      <c r="B85" s="9">
        <v>24</v>
      </c>
      <c r="C85" s="9">
        <f>IFERROR(B85 * (INDEX(Dipendenti!O:O, MATCH(A85, Dipendenti!A:A, 0)) / 6), "")</f>
        <v>120</v>
      </c>
    </row>
    <row r="86" spans="1:3" x14ac:dyDescent="0.25">
      <c r="A86" s="9" t="s">
        <v>385</v>
      </c>
      <c r="B86" s="9">
        <v>8</v>
      </c>
      <c r="C86" s="9">
        <f>IFERROR(B86 * (INDEX(Dipendenti!O:O, MATCH(A86, Dipendenti!A:A, 0)) / 6), "")</f>
        <v>48</v>
      </c>
    </row>
    <row r="87" spans="1:3" x14ac:dyDescent="0.25">
      <c r="A87" s="9" t="s">
        <v>111</v>
      </c>
      <c r="B87" s="9">
        <v>21</v>
      </c>
      <c r="C87" s="9">
        <f>IFERROR(B87 * (INDEX(Dipendenti!O:O, MATCH(A87, Dipendenti!A:A, 0)) / 6), "")</f>
        <v>126</v>
      </c>
    </row>
    <row r="88" spans="1:3" x14ac:dyDescent="0.25">
      <c r="A88" s="9" t="s">
        <v>66</v>
      </c>
      <c r="B88" s="9">
        <v>23</v>
      </c>
      <c r="C88" s="9">
        <f>IFERROR(B88 * (INDEX(Dipendenti!O:O, MATCH(A88, Dipendenti!A:A, 0)) / 6), "")</f>
        <v>138</v>
      </c>
    </row>
    <row r="89" spans="1:3" x14ac:dyDescent="0.25">
      <c r="A89" s="9" t="s">
        <v>109</v>
      </c>
      <c r="B89" s="9">
        <v>16</v>
      </c>
      <c r="C89" s="9">
        <f>IFERROR(B89 * (INDEX(Dipendenti!O:O, MATCH(A89, Dipendenti!A:A, 0)) / 6), "")</f>
        <v>96</v>
      </c>
    </row>
    <row r="90" spans="1:3" x14ac:dyDescent="0.25">
      <c r="A90" s="9" t="s">
        <v>79</v>
      </c>
      <c r="B90" s="9">
        <v>47</v>
      </c>
      <c r="C90" s="9">
        <f>IFERROR(B90 * (INDEX(Dipendenti!O:O, MATCH(A90, Dipendenti!A:A, 0)) / 6), "")</f>
        <v>282</v>
      </c>
    </row>
    <row r="91" spans="1:3" x14ac:dyDescent="0.25">
      <c r="A91" s="9" t="s">
        <v>86</v>
      </c>
      <c r="B91" s="9">
        <v>30</v>
      </c>
      <c r="C91" s="9">
        <f>IFERROR(B91 * (INDEX(Dipendenti!O:O, MATCH(A91, Dipendenti!A:A, 0)) / 6), "")</f>
        <v>180</v>
      </c>
    </row>
    <row r="92" spans="1:3" x14ac:dyDescent="0.25">
      <c r="A92" s="9" t="s">
        <v>93</v>
      </c>
      <c r="B92" s="9">
        <v>17</v>
      </c>
      <c r="C92" s="9">
        <f>IFERROR(B92 * (INDEX(Dipendenti!O:O, MATCH(A92, Dipendenti!A:A, 0)) / 6), "")</f>
        <v>102</v>
      </c>
    </row>
    <row r="93" spans="1:3" x14ac:dyDescent="0.25">
      <c r="A93" s="9" t="s">
        <v>118</v>
      </c>
      <c r="B93" s="9">
        <v>41</v>
      </c>
      <c r="C93" s="9">
        <f>IFERROR(B93 * (INDEX(Dipendenti!O:O, MATCH(A93, Dipendenti!A:A, 0)) / 6), "")</f>
        <v>246</v>
      </c>
    </row>
    <row r="94" spans="1:3" x14ac:dyDescent="0.25">
      <c r="A94" s="9" t="s">
        <v>107</v>
      </c>
      <c r="B94" s="9">
        <v>49</v>
      </c>
      <c r="C94" s="9">
        <f>IFERROR(B94 * (INDEX(Dipendenti!O:O, MATCH(A94, Dipendenti!A:A, 0)) / 6), "")</f>
        <v>245</v>
      </c>
    </row>
    <row r="95" spans="1:3" x14ac:dyDescent="0.25">
      <c r="A95" s="9" t="s">
        <v>130</v>
      </c>
      <c r="B95" s="9">
        <v>-5</v>
      </c>
      <c r="C95" s="9">
        <f>IFERROR(B95 * (INDEX(Dipendenti!O:O, MATCH(A95, Dipendenti!A:A, 0)) / 6), "")</f>
        <v>-30</v>
      </c>
    </row>
    <row r="96" spans="1:3" x14ac:dyDescent="0.25">
      <c r="A96" s="9" t="s">
        <v>70</v>
      </c>
      <c r="B96" s="9">
        <v>2</v>
      </c>
      <c r="C96" s="9">
        <f>IFERROR(B96 * (INDEX(Dipendenti!O:O, MATCH(A96, Dipendenti!A:A, 0)) / 6), "")</f>
        <v>10</v>
      </c>
    </row>
    <row r="97" spans="1:3" x14ac:dyDescent="0.25">
      <c r="A97" s="9" t="s">
        <v>387</v>
      </c>
      <c r="B97" s="9">
        <v>45</v>
      </c>
      <c r="C97" s="9">
        <f>IFERROR(B97 * (INDEX(Dipendenti!O:O, MATCH(A97, Dipendenti!A:A, 0)) / 6), "")</f>
        <v>270</v>
      </c>
    </row>
    <row r="98" spans="1:3" x14ac:dyDescent="0.25">
      <c r="A98" s="9" t="s">
        <v>386</v>
      </c>
      <c r="B98" s="9">
        <v>4</v>
      </c>
      <c r="C98" s="9">
        <f>IFERROR(B98 * (INDEX(Dipendenti!O:O, MATCH(A98, Dipendenti!A:A, 0)) / 6), "")</f>
        <v>20</v>
      </c>
    </row>
    <row r="99" spans="1:3" x14ac:dyDescent="0.25">
      <c r="A99" s="9" t="s">
        <v>68</v>
      </c>
      <c r="B99" s="9">
        <v>14</v>
      </c>
      <c r="C99" s="9">
        <f>IFERROR(B99 * (INDEX(Dipendenti!O:O, MATCH(A99, Dipendenti!A:A, 0)) / 6), "")</f>
        <v>84</v>
      </c>
    </row>
    <row r="100" spans="1:3" x14ac:dyDescent="0.25">
      <c r="A100" s="9" t="s">
        <v>131</v>
      </c>
      <c r="B100" s="9">
        <v>18</v>
      </c>
      <c r="C100" s="9">
        <f>IFERROR(B100 * (INDEX(Dipendenti!O:O, MATCH(A100, Dipendenti!A:A, 0)) / 6), "")</f>
        <v>108</v>
      </c>
    </row>
    <row r="101" spans="1:3" x14ac:dyDescent="0.25">
      <c r="A101" s="9" t="s">
        <v>145</v>
      </c>
      <c r="B101" s="9">
        <v>6</v>
      </c>
      <c r="C101" s="9">
        <f>IFERROR(B101 * (INDEX(Dipendenti!O:O, MATCH(A101, Dipendenti!A:A, 0)) / 6), "")</f>
        <v>36</v>
      </c>
    </row>
  </sheetData>
  <autoFilter ref="A1:C101" xr:uid="{00000000-0009-0000-0000-00000C000000}"/>
  <sortState xmlns:xlrd2="http://schemas.microsoft.com/office/spreadsheetml/2017/richdata2" ref="A2:C101">
    <sortCondition ref="A2:A101"/>
  </sortState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glio8"/>
  <dimension ref="A3:A7"/>
  <sheetViews>
    <sheetView workbookViewId="0">
      <selection activeCell="A4" sqref="A4"/>
    </sheetView>
  </sheetViews>
  <sheetFormatPr defaultRowHeight="15" x14ac:dyDescent="0.25"/>
  <cols>
    <col min="1" max="1" width="25.5703125" bestFit="1" customWidth="1"/>
    <col min="2" max="2" width="25.140625" bestFit="1" customWidth="1"/>
    <col min="3" max="3" width="8" bestFit="1" customWidth="1"/>
    <col min="4" max="4" width="9.7109375" bestFit="1" customWidth="1"/>
    <col min="5" max="5" width="8.28515625" bestFit="1" customWidth="1"/>
    <col min="6" max="6" width="9.5703125" bestFit="1" customWidth="1"/>
    <col min="7" max="7" width="4.85546875" bestFit="1" customWidth="1"/>
    <col min="8" max="8" width="5.28515625" bestFit="1" customWidth="1"/>
    <col min="9" max="9" width="10.85546875" bestFit="1" customWidth="1"/>
    <col min="10" max="10" width="7" bestFit="1" customWidth="1"/>
    <col min="11" max="11" width="7.85546875" bestFit="1" customWidth="1"/>
    <col min="12" max="12" width="8.28515625" bestFit="1" customWidth="1"/>
    <col min="13" max="13" width="9.7109375" bestFit="1" customWidth="1"/>
    <col min="14" max="14" width="5.28515625" bestFit="1" customWidth="1"/>
    <col min="15" max="15" width="7.28515625" bestFit="1" customWidth="1"/>
    <col min="16" max="16" width="10.5703125" bestFit="1" customWidth="1"/>
    <col min="17" max="17" width="12.140625" bestFit="1" customWidth="1"/>
    <col min="18" max="18" width="14.85546875" bestFit="1" customWidth="1"/>
    <col min="19" max="19" width="13.28515625" bestFit="1" customWidth="1"/>
    <col min="20" max="20" width="9.85546875" bestFit="1" customWidth="1"/>
    <col min="21" max="21" width="11.7109375" bestFit="1" customWidth="1"/>
    <col min="22" max="22" width="11.42578125" bestFit="1" customWidth="1"/>
    <col min="23" max="23" width="15.42578125" bestFit="1" customWidth="1"/>
    <col min="24" max="24" width="12.85546875" bestFit="1" customWidth="1"/>
    <col min="25" max="25" width="14.85546875" bestFit="1" customWidth="1"/>
    <col min="26" max="26" width="17" bestFit="1" customWidth="1"/>
    <col min="27" max="27" width="4.85546875" bestFit="1" customWidth="1"/>
    <col min="28" max="28" width="5.7109375" bestFit="1" customWidth="1"/>
    <col min="29" max="29" width="7.5703125" bestFit="1" customWidth="1"/>
    <col min="30" max="30" width="5.28515625" bestFit="1" customWidth="1"/>
    <col min="31" max="31" width="3.5703125" bestFit="1" customWidth="1"/>
    <col min="32" max="32" width="7.42578125" bestFit="1" customWidth="1"/>
    <col min="33" max="33" width="7.28515625" bestFit="1" customWidth="1"/>
    <col min="34" max="34" width="6.42578125" bestFit="1" customWidth="1"/>
    <col min="35" max="35" width="10" bestFit="1" customWidth="1"/>
    <col min="36" max="36" width="7.140625" bestFit="1" customWidth="1"/>
    <col min="37" max="37" width="6.85546875" bestFit="1" customWidth="1"/>
    <col min="38" max="38" width="5" bestFit="1" customWidth="1"/>
    <col min="39" max="39" width="8.42578125" bestFit="1" customWidth="1"/>
    <col min="40" max="40" width="10.28515625" bestFit="1" customWidth="1"/>
    <col min="41" max="41" width="8.42578125" bestFit="1" customWidth="1"/>
    <col min="42" max="42" width="12.28515625" bestFit="1" customWidth="1"/>
    <col min="43" max="43" width="3.7109375" bestFit="1" customWidth="1"/>
    <col min="44" max="44" width="9.85546875" bestFit="1" customWidth="1"/>
    <col min="45" max="45" width="5.42578125" bestFit="1" customWidth="1"/>
    <col min="46" max="46" width="8.28515625" bestFit="1" customWidth="1"/>
    <col min="47" max="47" width="2.5703125" bestFit="1" customWidth="1"/>
    <col min="48" max="48" width="4.28515625" bestFit="1" customWidth="1"/>
    <col min="49" max="49" width="6.28515625" bestFit="1" customWidth="1"/>
    <col min="50" max="50" width="14.7109375" bestFit="1" customWidth="1"/>
    <col min="51" max="51" width="10" bestFit="1" customWidth="1"/>
    <col min="52" max="52" width="10.140625" bestFit="1" customWidth="1"/>
    <col min="53" max="53" width="14.140625" bestFit="1" customWidth="1"/>
    <col min="54" max="54" width="16.42578125" bestFit="1" customWidth="1"/>
    <col min="55" max="57" width="3.42578125" bestFit="1" customWidth="1"/>
    <col min="58" max="58" width="7.28515625" bestFit="1" customWidth="1"/>
    <col min="59" max="59" width="7.5703125" bestFit="1" customWidth="1"/>
    <col min="60" max="60" width="6.5703125" bestFit="1" customWidth="1"/>
    <col min="61" max="61" width="10" bestFit="1" customWidth="1"/>
    <col min="62" max="62" width="15.85546875" bestFit="1" customWidth="1"/>
    <col min="63" max="63" width="6.7109375" bestFit="1" customWidth="1"/>
    <col min="64" max="65" width="6.140625" bestFit="1" customWidth="1"/>
    <col min="66" max="66" width="9" bestFit="1" customWidth="1"/>
    <col min="67" max="67" width="6.140625" bestFit="1" customWidth="1"/>
    <col min="68" max="68" width="3.85546875" bestFit="1" customWidth="1"/>
    <col min="69" max="69" width="6.7109375" bestFit="1" customWidth="1"/>
    <col min="70" max="70" width="12.7109375" bestFit="1" customWidth="1"/>
    <col min="71" max="71" width="6.85546875" bestFit="1" customWidth="1"/>
    <col min="72" max="72" width="10.42578125" bestFit="1" customWidth="1"/>
    <col min="73" max="73" width="13.140625" bestFit="1" customWidth="1"/>
    <col min="74" max="74" width="12.28515625" bestFit="1" customWidth="1"/>
    <col min="75" max="75" width="11.42578125" bestFit="1" customWidth="1"/>
    <col min="76" max="76" width="14.140625" bestFit="1" customWidth="1"/>
    <col min="77" max="77" width="5.140625" bestFit="1" customWidth="1"/>
    <col min="78" max="78" width="4.42578125" bestFit="1" customWidth="1"/>
    <col min="79" max="79" width="6" bestFit="1" customWidth="1"/>
    <col min="80" max="80" width="9.42578125" bestFit="1" customWidth="1"/>
    <col min="81" max="81" width="14.85546875" bestFit="1" customWidth="1"/>
    <col min="82" max="82" width="10.5703125" bestFit="1" customWidth="1"/>
    <col min="83" max="83" width="5.5703125" bestFit="1" customWidth="1"/>
    <col min="84" max="84" width="5.140625" bestFit="1" customWidth="1"/>
    <col min="86" max="86" width="10.140625" bestFit="1" customWidth="1"/>
    <col min="87" max="87" width="5" bestFit="1" customWidth="1"/>
    <col min="88" max="88" width="7.5703125" bestFit="1" customWidth="1"/>
    <col min="89" max="89" width="18.7109375" bestFit="1" customWidth="1"/>
  </cols>
  <sheetData>
    <row r="3" spans="1:1" x14ac:dyDescent="0.25">
      <c r="A3" t="s">
        <v>38</v>
      </c>
    </row>
    <row r="4" spans="1:1" x14ac:dyDescent="0.25">
      <c r="A4" s="20">
        <v>41.46</v>
      </c>
    </row>
    <row r="6" spans="1:1" x14ac:dyDescent="0.25">
      <c r="A6" t="s">
        <v>39</v>
      </c>
    </row>
    <row r="7" spans="1:1" x14ac:dyDescent="0.25">
      <c r="A7" s="13">
        <v>6.78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Foglio71"/>
  <dimension ref="A1:E10"/>
  <sheetViews>
    <sheetView workbookViewId="0">
      <selection activeCell="F11" sqref="F11"/>
    </sheetView>
  </sheetViews>
  <sheetFormatPr defaultRowHeight="15" x14ac:dyDescent="0.25"/>
  <cols>
    <col min="1" max="1" width="16.28515625" style="15" bestFit="1" customWidth="1"/>
  </cols>
  <sheetData>
    <row r="1" spans="1:5" x14ac:dyDescent="0.25">
      <c r="A1" t="s">
        <v>25</v>
      </c>
      <c r="C1" t="s">
        <v>28</v>
      </c>
      <c r="E1" t="s">
        <v>49</v>
      </c>
    </row>
    <row r="2" spans="1:5" x14ac:dyDescent="0.25">
      <c r="A2" t="s">
        <v>351</v>
      </c>
      <c r="C2" t="s">
        <v>29</v>
      </c>
      <c r="E2" t="s">
        <v>50</v>
      </c>
    </row>
    <row r="3" spans="1:5" x14ac:dyDescent="0.25">
      <c r="A3" t="s">
        <v>26</v>
      </c>
      <c r="E3" t="s">
        <v>57</v>
      </c>
    </row>
    <row r="4" spans="1:5" x14ac:dyDescent="0.25">
      <c r="A4" t="s">
        <v>354</v>
      </c>
      <c r="E4" s="15" t="s">
        <v>58</v>
      </c>
    </row>
    <row r="5" spans="1:5" x14ac:dyDescent="0.25">
      <c r="A5" t="s">
        <v>355</v>
      </c>
      <c r="E5" t="s">
        <v>59</v>
      </c>
    </row>
    <row r="6" spans="1:5" x14ac:dyDescent="0.25">
      <c r="A6" t="s">
        <v>357</v>
      </c>
      <c r="E6" t="s">
        <v>60</v>
      </c>
    </row>
    <row r="7" spans="1:5" x14ac:dyDescent="0.25">
      <c r="A7" t="s">
        <v>358</v>
      </c>
      <c r="E7" t="s">
        <v>61</v>
      </c>
    </row>
    <row r="8" spans="1:5" x14ac:dyDescent="0.25">
      <c r="A8" t="s">
        <v>27</v>
      </c>
    </row>
    <row r="9" spans="1:5" x14ac:dyDescent="0.25">
      <c r="A9" t="s">
        <v>362</v>
      </c>
    </row>
    <row r="10" spans="1:5" x14ac:dyDescent="0.25">
      <c r="A10" t="s">
        <v>363</v>
      </c>
    </row>
  </sheetData>
  <sortState xmlns:xlrd2="http://schemas.microsoft.com/office/spreadsheetml/2017/richdata2" ref="A1:A10">
    <sortCondition ref="A1:A1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B941CD-60CD-4EE2-8FFC-4D1D27629B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11</vt:i4>
      </vt:variant>
      <vt:variant>
        <vt:lpstr>Intervalli denominati</vt:lpstr>
      </vt:variant>
      <vt:variant>
        <vt:i4>3</vt:i4>
      </vt:variant>
    </vt:vector>
  </HeadingPairs>
  <TitlesOfParts>
    <vt:vector size="14" baseType="lpstr">
      <vt:lpstr>Dipendenti</vt:lpstr>
      <vt:lpstr>Riepilogo</vt:lpstr>
      <vt:lpstr>Dashboard</vt:lpstr>
      <vt:lpstr>Report_Ferie</vt:lpstr>
      <vt:lpstr>Report_Assenze</vt:lpstr>
      <vt:lpstr>Registro_Ferie</vt:lpstr>
      <vt:lpstr>Registro_assenze</vt:lpstr>
      <vt:lpstr>ChiusureAziendali</vt:lpstr>
      <vt:lpstr>SaldiFerie</vt:lpstr>
      <vt:lpstr>Media</vt:lpstr>
      <vt:lpstr>ELENCO</vt:lpstr>
      <vt:lpstr>Report_Assenze!Area_stampa</vt:lpstr>
      <vt:lpstr>DIPENDENTE</vt:lpstr>
      <vt:lpstr>TABELLA_DIP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Amoroso</dc:creator>
  <cp:lastModifiedBy>Daniele Amoroso</cp:lastModifiedBy>
  <cp:lastPrinted>2025-04-02T12:12:15Z</cp:lastPrinted>
  <dcterms:created xsi:type="dcterms:W3CDTF">2025-02-10T18:47:44Z</dcterms:created>
  <dcterms:modified xsi:type="dcterms:W3CDTF">2025-05-03T15:11:34Z</dcterms:modified>
</cp:coreProperties>
</file>